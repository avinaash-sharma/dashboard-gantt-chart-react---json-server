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VA Tasks\"/>
    </mc:Choice>
  </mc:AlternateContent>
  <xr:revisionPtr revIDLastSave="0" documentId="8_{B1AF4A4E-3C09-42D4-8427-9BE6956CAF33}" xr6:coauthVersionLast="47" xr6:coauthVersionMax="47" xr10:uidLastSave="{00000000-0000-0000-0000-000000000000}"/>
  <bookViews>
    <workbookView xWindow="-110" yWindow="-110" windowWidth="19420" windowHeight="10300" tabRatio="865" firstSheet="8" activeTab="11" xr2:uid="{526C11D1-018A-4F32-827C-C773550AF102}"/>
  </bookViews>
  <sheets>
    <sheet name="Pointers" sheetId="5" state="hidden" r:id="rId1"/>
    <sheet name="Data Sheet" sheetId="10" state="hidden" r:id="rId2"/>
    <sheet name="Resource Allocation" sheetId="6" state="hidden" r:id="rId3"/>
    <sheet name="Project Summary" sheetId="9" state="hidden" r:id="rId4"/>
    <sheet name="Project Wise Revenue" sheetId="7" state="hidden" r:id="rId5"/>
    <sheet name="Project Timeline Burn " sheetId="8" state="hidden" r:id="rId6"/>
    <sheet name="Data Fields" sheetId="15" state="hidden" r:id="rId7"/>
    <sheet name="Sheet7" sheetId="21" state="hidden" r:id="rId8"/>
    <sheet name="Project Master" sheetId="23" r:id="rId9"/>
    <sheet name="Resource Rate Card" sheetId="11" r:id="rId10"/>
    <sheet name="Monthly Resource" sheetId="24" state="hidden" r:id="rId11"/>
    <sheet name="Monthly Resource Allocation" sheetId="12" r:id="rId12"/>
    <sheet name="Project Burn Summary" sheetId="22" r:id="rId13"/>
    <sheet name="MoM Resource Utilisation" sheetId="26" r:id="rId14"/>
    <sheet name="Resource Allocation Till Date" sheetId="27" r:id="rId15"/>
    <sheet name="Project Timeline Burn  (2)" sheetId="13" state="hidden" r:id="rId16"/>
    <sheet name="Project Wise Summary" sheetId="1" state="hidden" r:id="rId17"/>
    <sheet name="Project Resource Details" sheetId="2" state="hidden" r:id="rId18"/>
    <sheet name="Project Resource Details (2)" sheetId="4" state="hidden" r:id="rId19"/>
    <sheet name="Resource Wise Summary" sheetId="3" state="hidden" r:id="rId20"/>
  </sheets>
  <definedNames>
    <definedName name="_xlnm._FilterDatabase" localSheetId="11" hidden="1">'Monthly Resource Allocation'!$A$1:$X$46</definedName>
    <definedName name="_xlnm._FilterDatabase" localSheetId="17" hidden="1">'Project Resource Details'!$A$2:$BP$2</definedName>
    <definedName name="_xlnm._FilterDatabase" localSheetId="16" hidden="1">'Project Wise Summary'!$A$1:$I$31</definedName>
  </definedNames>
  <calcPr calcId="191029"/>
  <pivotCaches>
    <pivotCache cacheId="2" r:id="rId2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2" l="1"/>
  <c r="H2" i="22"/>
  <c r="I2" i="22" s="1"/>
  <c r="J2" i="22" s="1"/>
  <c r="I3" i="22"/>
  <c r="J3" i="22" s="1"/>
  <c r="F3" i="22"/>
  <c r="F2" i="22"/>
  <c r="D2" i="22"/>
  <c r="E2" i="22" s="1"/>
  <c r="G2" i="22" s="1"/>
  <c r="D3" i="22"/>
  <c r="E3" i="22" s="1"/>
  <c r="G3" i="22" s="1"/>
  <c r="E3" i="13"/>
  <c r="F3" i="13" s="1"/>
  <c r="E2" i="13"/>
  <c r="F2" i="13" s="1"/>
  <c r="H46" i="12"/>
  <c r="K46" i="12" s="1"/>
  <c r="X46" i="12" s="1"/>
  <c r="A46" i="12"/>
  <c r="H45" i="12"/>
  <c r="K45" i="12" s="1"/>
  <c r="X45" i="12" s="1"/>
  <c r="A45" i="12"/>
  <c r="H44" i="12"/>
  <c r="K44" i="12" s="1"/>
  <c r="X44" i="12" s="1"/>
  <c r="A44" i="12"/>
  <c r="H43" i="12"/>
  <c r="K43" i="12" s="1"/>
  <c r="X43" i="12" s="1"/>
  <c r="A43" i="12"/>
  <c r="H42" i="12"/>
  <c r="K42" i="12" s="1"/>
  <c r="X42" i="12" s="1"/>
  <c r="A42" i="12"/>
  <c r="H41" i="12"/>
  <c r="K41" i="12" s="1"/>
  <c r="X41" i="12" s="1"/>
  <c r="A41" i="12"/>
  <c r="H40" i="12"/>
  <c r="K40" i="12" s="1"/>
  <c r="X40" i="12" s="1"/>
  <c r="A40" i="12"/>
  <c r="H39" i="12"/>
  <c r="K39" i="12" s="1"/>
  <c r="X39" i="12" s="1"/>
  <c r="A39" i="12"/>
  <c r="H38" i="12"/>
  <c r="K38" i="12" s="1"/>
  <c r="X38" i="12" s="1"/>
  <c r="A38" i="12"/>
  <c r="H37" i="12"/>
  <c r="K37" i="12" s="1"/>
  <c r="X37" i="12" s="1"/>
  <c r="A37" i="12"/>
  <c r="H36" i="12"/>
  <c r="K36" i="12" s="1"/>
  <c r="X36" i="12" s="1"/>
  <c r="A36" i="12"/>
  <c r="H35" i="12"/>
  <c r="K35" i="12" s="1"/>
  <c r="X35" i="12" s="1"/>
  <c r="A35" i="12"/>
  <c r="H34" i="12"/>
  <c r="K34" i="12" s="1"/>
  <c r="X34" i="12" s="1"/>
  <c r="A34" i="12"/>
  <c r="H33" i="12"/>
  <c r="K33" i="12" s="1"/>
  <c r="X33" i="12" s="1"/>
  <c r="A33" i="12"/>
  <c r="H32" i="12"/>
  <c r="K32" i="12" s="1"/>
  <c r="X32" i="12" s="1"/>
  <c r="A32" i="12"/>
  <c r="H31" i="12"/>
  <c r="K31" i="12" s="1"/>
  <c r="X31" i="12" s="1"/>
  <c r="A31" i="12"/>
  <c r="H30" i="12"/>
  <c r="K30" i="12" s="1"/>
  <c r="X30" i="12" s="1"/>
  <c r="A30" i="12"/>
  <c r="H29" i="12"/>
  <c r="K29" i="12" s="1"/>
  <c r="X29" i="12" s="1"/>
  <c r="A29" i="12"/>
  <c r="H28" i="12"/>
  <c r="K28" i="12" s="1"/>
  <c r="X28" i="12" s="1"/>
  <c r="A28" i="12"/>
  <c r="H27" i="12"/>
  <c r="K27" i="12" s="1"/>
  <c r="X27" i="12" s="1"/>
  <c r="A27" i="12"/>
  <c r="H26" i="12"/>
  <c r="K26" i="12" s="1"/>
  <c r="X26" i="12" s="1"/>
  <c r="A26" i="12"/>
  <c r="H25" i="12"/>
  <c r="K25" i="12" s="1"/>
  <c r="X25" i="12" s="1"/>
  <c r="A25" i="12"/>
  <c r="H24" i="12"/>
  <c r="K24" i="12" s="1"/>
  <c r="X24" i="12" s="1"/>
  <c r="A24" i="12"/>
  <c r="H23" i="12"/>
  <c r="K23" i="12" s="1"/>
  <c r="X23" i="12" s="1"/>
  <c r="A23" i="12"/>
  <c r="H22" i="12"/>
  <c r="K22" i="12" s="1"/>
  <c r="X22" i="12" s="1"/>
  <c r="A22" i="12"/>
  <c r="H21" i="12"/>
  <c r="K21" i="12" s="1"/>
  <c r="X21" i="12" s="1"/>
  <c r="A21" i="12"/>
  <c r="H20" i="12"/>
  <c r="K20" i="12" s="1"/>
  <c r="X20" i="12" s="1"/>
  <c r="A20" i="12"/>
  <c r="H19" i="12"/>
  <c r="K19" i="12" s="1"/>
  <c r="X19" i="12" s="1"/>
  <c r="A19" i="12"/>
  <c r="H18" i="12"/>
  <c r="K18" i="12" s="1"/>
  <c r="X18" i="12" s="1"/>
  <c r="A18" i="12"/>
  <c r="H17" i="12"/>
  <c r="K17" i="12" s="1"/>
  <c r="X17" i="12" s="1"/>
  <c r="A17" i="12"/>
  <c r="H16" i="12"/>
  <c r="K16" i="12" s="1"/>
  <c r="X16" i="12" s="1"/>
  <c r="A16" i="12"/>
  <c r="H15" i="12"/>
  <c r="K15" i="12" s="1"/>
  <c r="X15" i="12" s="1"/>
  <c r="A15" i="12"/>
  <c r="H14" i="12"/>
  <c r="K14" i="12" s="1"/>
  <c r="X14" i="12" s="1"/>
  <c r="A14" i="12"/>
  <c r="H13" i="12"/>
  <c r="K13" i="12" s="1"/>
  <c r="X13" i="12" s="1"/>
  <c r="A13" i="12"/>
  <c r="H12" i="12"/>
  <c r="K12" i="12" s="1"/>
  <c r="X12" i="12" s="1"/>
  <c r="A12" i="12"/>
  <c r="H11" i="12"/>
  <c r="K11" i="12" s="1"/>
  <c r="X11" i="12" s="1"/>
  <c r="A11" i="12"/>
  <c r="H10" i="12"/>
  <c r="K10" i="12" s="1"/>
  <c r="X10" i="12" s="1"/>
  <c r="A10" i="12"/>
  <c r="H9" i="12"/>
  <c r="K9" i="12" s="1"/>
  <c r="X9" i="12" s="1"/>
  <c r="A9" i="12"/>
  <c r="H8" i="12"/>
  <c r="K8" i="12" s="1"/>
  <c r="X8" i="12" s="1"/>
  <c r="A8" i="12"/>
  <c r="H7" i="12"/>
  <c r="K7" i="12" s="1"/>
  <c r="X7" i="12" s="1"/>
  <c r="A7" i="12"/>
  <c r="H6" i="12"/>
  <c r="K6" i="12" s="1"/>
  <c r="X6" i="12" s="1"/>
  <c r="A6" i="12"/>
  <c r="H5" i="12"/>
  <c r="K5" i="12" s="1"/>
  <c r="X5" i="12" s="1"/>
  <c r="A5" i="12"/>
  <c r="H4" i="12"/>
  <c r="K4" i="12" s="1"/>
  <c r="X4" i="12" s="1"/>
  <c r="A4" i="12"/>
  <c r="H3" i="12"/>
  <c r="K3" i="12" s="1"/>
  <c r="X3" i="12" s="1"/>
  <c r="A3" i="12"/>
  <c r="H2" i="12"/>
  <c r="K2" i="12" s="1"/>
  <c r="X2" i="12" s="1"/>
  <c r="A2" i="12"/>
  <c r="K15" i="11"/>
  <c r="G15" i="11"/>
  <c r="K14" i="11"/>
  <c r="G14" i="11"/>
  <c r="K13" i="11"/>
  <c r="G13" i="11"/>
  <c r="K12" i="11"/>
  <c r="G12" i="11"/>
  <c r="K11" i="11"/>
  <c r="G11" i="11"/>
  <c r="K10" i="11"/>
  <c r="G10" i="11"/>
  <c r="K9" i="11"/>
  <c r="G9" i="11"/>
  <c r="K8" i="11"/>
  <c r="G8" i="11"/>
  <c r="K7" i="11"/>
  <c r="G7" i="11"/>
  <c r="K6" i="11"/>
  <c r="G6" i="11"/>
  <c r="K5" i="11"/>
  <c r="G5" i="11"/>
  <c r="K4" i="11"/>
  <c r="G4" i="11"/>
  <c r="K3" i="11"/>
  <c r="G3" i="11"/>
  <c r="K2" i="11"/>
  <c r="G2" i="11"/>
  <c r="D2" i="13" l="1"/>
  <c r="G2" i="13" s="1"/>
  <c r="I2" i="13" s="1"/>
  <c r="D3" i="13"/>
  <c r="G3" i="13" s="1"/>
  <c r="I3" i="13" s="1"/>
  <c r="H3" i="13" l="1"/>
  <c r="H2" i="13"/>
  <c r="D3" i="9"/>
  <c r="D2" i="9"/>
  <c r="D3" i="8"/>
  <c r="E3" i="8" s="1"/>
  <c r="D4" i="8"/>
  <c r="E4" i="8" s="1"/>
  <c r="D5" i="8"/>
  <c r="E5" i="8" s="1"/>
  <c r="D2" i="8"/>
  <c r="E2" i="8" s="1"/>
  <c r="K3" i="6"/>
  <c r="K4" i="6"/>
  <c r="C3" i="8" s="1"/>
  <c r="K5" i="6"/>
  <c r="C4" i="8" s="1"/>
  <c r="K6" i="6"/>
  <c r="C5" i="8" s="1"/>
  <c r="K2" i="6"/>
  <c r="C2" i="8" s="1"/>
  <c r="F2" i="1"/>
  <c r="BM3" i="2"/>
  <c r="BN3" i="2" s="1"/>
  <c r="BP3" i="2" s="1"/>
  <c r="I3" i="4"/>
  <c r="K3" i="4" s="1"/>
  <c r="E2" i="9" l="1"/>
  <c r="G2" i="9" s="1"/>
  <c r="E3" i="9"/>
  <c r="G3" i="9" s="1"/>
  <c r="H3" i="9" s="1"/>
  <c r="F4" i="8"/>
  <c r="H4" i="8" s="1"/>
  <c r="F3" i="8"/>
  <c r="H3" i="8" s="1"/>
  <c r="F5" i="8"/>
  <c r="H5" i="8" s="1"/>
  <c r="G4" i="8"/>
  <c r="G3" i="8"/>
  <c r="G5" i="8"/>
  <c r="F2" i="8"/>
  <c r="H2" i="8" s="1"/>
  <c r="G2" i="8"/>
  <c r="G2" i="1"/>
  <c r="I2" i="1" s="1"/>
  <c r="H3" i="3"/>
  <c r="J3" i="3" s="1"/>
  <c r="F2" i="9" l="1"/>
  <c r="I2" i="9" s="1"/>
  <c r="H2" i="9"/>
  <c r="F3" i="9"/>
  <c r="I3" i="9" s="1"/>
</calcChain>
</file>

<file path=xl/sharedStrings.xml><?xml version="1.0" encoding="utf-8"?>
<sst xmlns="http://schemas.openxmlformats.org/spreadsheetml/2006/main" count="1133" uniqueCount="343">
  <si>
    <t>Project Name</t>
  </si>
  <si>
    <t>Start Date</t>
  </si>
  <si>
    <t>End Date</t>
  </si>
  <si>
    <t>Total Budget</t>
  </si>
  <si>
    <t>Project ID</t>
  </si>
  <si>
    <t>Resource Name</t>
  </si>
  <si>
    <t>Resource Type</t>
  </si>
  <si>
    <t>Total Cost</t>
  </si>
  <si>
    <t>FTE/Contractor</t>
  </si>
  <si>
    <t>Cost Per Hr.</t>
  </si>
  <si>
    <t>Resource ID</t>
  </si>
  <si>
    <t>Week</t>
  </si>
  <si>
    <t>Wk01</t>
  </si>
  <si>
    <t>Wk02</t>
  </si>
  <si>
    <t>Total Hrs</t>
  </si>
  <si>
    <t>Budget</t>
  </si>
  <si>
    <t>Budget Burn Down</t>
  </si>
  <si>
    <t>Project Budget</t>
  </si>
  <si>
    <t>Auto Case - Auto</t>
  </si>
  <si>
    <t>Auto Case - Pharma D</t>
  </si>
  <si>
    <t xml:space="preserve">Auto Case - PTS </t>
  </si>
  <si>
    <t xml:space="preserve">Auto Case - STP </t>
  </si>
  <si>
    <t>Call Transcription - Auto, PTS, STP</t>
  </si>
  <si>
    <t>Call Transcription - Pharma D</t>
  </si>
  <si>
    <t>CCaaS Modernization</t>
  </si>
  <si>
    <t>Chat Summarization-ProviderSolutions</t>
  </si>
  <si>
    <t>Chat VA - Pharma D</t>
  </si>
  <si>
    <t>EAAA - Provider Solutions</t>
  </si>
  <si>
    <t>EAAA Enhancements - Provider Solutions</t>
  </si>
  <si>
    <t>Email AAA - MSD</t>
  </si>
  <si>
    <t>Email AAA - Pharma D</t>
  </si>
  <si>
    <t>IDP</t>
  </si>
  <si>
    <t>IDP-EmailAttachments-Pharma</t>
  </si>
  <si>
    <t>IDP-EmailAttachments-ProviderSolutions</t>
  </si>
  <si>
    <t>Insights-EAAA-ProviderSolutions</t>
  </si>
  <si>
    <t>Insightshub</t>
  </si>
  <si>
    <t>Insights-IDP-ProviderSolutions</t>
  </si>
  <si>
    <t>IVR Modernization - Auto</t>
  </si>
  <si>
    <t>IVR Modernization - MSD</t>
  </si>
  <si>
    <t>IVR Modernization - Pharma D</t>
  </si>
  <si>
    <t>IVR Modernization - PTS</t>
  </si>
  <si>
    <t>IVR Modernization - STP</t>
  </si>
  <si>
    <t>Live Chat - Pharma D</t>
  </si>
  <si>
    <t>MIAW Upgrade - Connect Portal</t>
  </si>
  <si>
    <t>MIAW Upgrade - Customer Central Portal</t>
  </si>
  <si>
    <t>VA Migration</t>
  </si>
  <si>
    <t xml:space="preserve">VirtualAssistant - Connect Portal </t>
  </si>
  <si>
    <t xml:space="preserve">VirtualAssistant - Customer Centre Portal </t>
  </si>
  <si>
    <t>Resource Status</t>
  </si>
  <si>
    <t>Total Hrs Logged</t>
  </si>
  <si>
    <t>Weekly Rate</t>
  </si>
  <si>
    <t>Wk03</t>
  </si>
  <si>
    <t>Wk04</t>
  </si>
  <si>
    <t>Wk05</t>
  </si>
  <si>
    <t>Wk06</t>
  </si>
  <si>
    <t>Wk07</t>
  </si>
  <si>
    <t>Wk08</t>
  </si>
  <si>
    <t>Wk09</t>
  </si>
  <si>
    <t>Wk10</t>
  </si>
  <si>
    <t>Wk11</t>
  </si>
  <si>
    <t>Wk12</t>
  </si>
  <si>
    <t>Wk13</t>
  </si>
  <si>
    <t>Wk14</t>
  </si>
  <si>
    <t>Wk15</t>
  </si>
  <si>
    <t>Wk16</t>
  </si>
  <si>
    <t>Wk17</t>
  </si>
  <si>
    <t>Wk18</t>
  </si>
  <si>
    <t>Wk19</t>
  </si>
  <si>
    <t>Wk20</t>
  </si>
  <si>
    <t>Wk21</t>
  </si>
  <si>
    <t>Wk22</t>
  </si>
  <si>
    <t>Wk23</t>
  </si>
  <si>
    <t>Wk24</t>
  </si>
  <si>
    <t>Wk25</t>
  </si>
  <si>
    <t>Wk26</t>
  </si>
  <si>
    <t>Wk27</t>
  </si>
  <si>
    <t>Wk28</t>
  </si>
  <si>
    <t>Wk29</t>
  </si>
  <si>
    <t>Wk30</t>
  </si>
  <si>
    <t>Wk31</t>
  </si>
  <si>
    <t>Wk32</t>
  </si>
  <si>
    <t>Wk33</t>
  </si>
  <si>
    <t>Wk34</t>
  </si>
  <si>
    <t>Wk35</t>
  </si>
  <si>
    <t>Wk36</t>
  </si>
  <si>
    <t>Wk37</t>
  </si>
  <si>
    <t>Wk38</t>
  </si>
  <si>
    <t>Wk39</t>
  </si>
  <si>
    <t>Wk40</t>
  </si>
  <si>
    <t>Wk41</t>
  </si>
  <si>
    <t>Wk42</t>
  </si>
  <si>
    <t>Wk43</t>
  </si>
  <si>
    <t>Wk44</t>
  </si>
  <si>
    <t>Wk45</t>
  </si>
  <si>
    <t>Wk46</t>
  </si>
  <si>
    <t>Wk47</t>
  </si>
  <si>
    <t>Wk48</t>
  </si>
  <si>
    <t>Wk49</t>
  </si>
  <si>
    <t>Wk50</t>
  </si>
  <si>
    <t>Wk51</t>
  </si>
  <si>
    <t>Wk52</t>
  </si>
  <si>
    <t>Wk53</t>
  </si>
  <si>
    <t>Wk54</t>
  </si>
  <si>
    <t>Wk55</t>
  </si>
  <si>
    <t>Wk56</t>
  </si>
  <si>
    <t>WEEKLY LOGGED HOURS</t>
  </si>
  <si>
    <t>Cost till Date</t>
  </si>
  <si>
    <t>Total hrs logged till date</t>
  </si>
  <si>
    <t>Cost till date</t>
  </si>
  <si>
    <t>Yearly Rate</t>
  </si>
  <si>
    <t>Week on week hours have to be plotted against each resource to achieve the total cost</t>
  </si>
  <si>
    <t>Is total hrs logged by the resources available on weekly basis</t>
  </si>
  <si>
    <t>Need to understand the Factors affecting the change in the weekly rate card of the resources if any</t>
  </si>
  <si>
    <t>Budget of the resources is available at the start of the project and remains the same throughout?</t>
  </si>
  <si>
    <t>Total Effort</t>
  </si>
  <si>
    <t>Start date and end date of the project has to be captured to get the months left</t>
  </si>
  <si>
    <t>Total Effort is the Resource logged hrs in the project resource details</t>
  </si>
  <si>
    <t>Total Cost is the yearly rate by hrs logged by the resource</t>
  </si>
  <si>
    <t>Budget is the rate of the project that comes from the SOW</t>
  </si>
  <si>
    <t>Factors affecting the change in the weekly rate of the resources if any</t>
  </si>
  <si>
    <t>For trracking the Revenue Realization, Resource Burn Rate and Gross Margins</t>
  </si>
  <si>
    <t>Revenue Realization</t>
  </si>
  <si>
    <t>How much of the expected/billed revenue is actually realised</t>
  </si>
  <si>
    <t>Actual Revenue by Planned Revenue</t>
  </si>
  <si>
    <t>Resource Burn Rate</t>
  </si>
  <si>
    <t xml:space="preserve">To be measured in Cost </t>
  </si>
  <si>
    <t>Burn Rate = Total Resource Cost/Time Period</t>
  </si>
  <si>
    <t>Monthly Burn</t>
  </si>
  <si>
    <t>Resource Cost by Number of Months</t>
  </si>
  <si>
    <t xml:space="preserve"> for Efficiency</t>
  </si>
  <si>
    <t>Revenue/Resource Count</t>
  </si>
  <si>
    <t>Gross Margin</t>
  </si>
  <si>
    <t>(Revenue-Cost) by Revenue</t>
  </si>
  <si>
    <t>Net Burn</t>
  </si>
  <si>
    <t>Cost-Revenue</t>
  </si>
  <si>
    <t>Employee Code</t>
  </si>
  <si>
    <t>Employee Name</t>
  </si>
  <si>
    <t>Fortnight</t>
  </si>
  <si>
    <t>Allocated Hrs</t>
  </si>
  <si>
    <t>Actual Hrs</t>
  </si>
  <si>
    <t>Cost per Hr</t>
  </si>
  <si>
    <t>Actual Cost</t>
  </si>
  <si>
    <t>F1</t>
  </si>
  <si>
    <t>F2</t>
  </si>
  <si>
    <t>Role</t>
  </si>
  <si>
    <t>Dev</t>
  </si>
  <si>
    <t>QA</t>
  </si>
  <si>
    <t>UAT</t>
  </si>
  <si>
    <t>Planned Revenue</t>
  </si>
  <si>
    <t>Actual Revenue</t>
  </si>
  <si>
    <t>Revenue Realised</t>
  </si>
  <si>
    <t>Burn Rate</t>
  </si>
  <si>
    <t>Burn Status</t>
  </si>
  <si>
    <t>Total Revenue</t>
  </si>
  <si>
    <t>Project Burn Rate</t>
  </si>
  <si>
    <t>Project GM</t>
  </si>
  <si>
    <t>Cummulative Status (Project Burn + Gross Margim)</t>
  </si>
  <si>
    <t>Period (Fortnight)</t>
  </si>
  <si>
    <t>Skill</t>
  </si>
  <si>
    <t>Emp/Contractor</t>
  </si>
  <si>
    <t>Roles</t>
  </si>
  <si>
    <t>Employee</t>
  </si>
  <si>
    <t>Contractor</t>
  </si>
  <si>
    <t>Google Delivery Lead</t>
  </si>
  <si>
    <t>Integration Lead</t>
  </si>
  <si>
    <t>Google Tech Lead</t>
  </si>
  <si>
    <t>Project Manager</t>
  </si>
  <si>
    <t>Business Analyst</t>
  </si>
  <si>
    <t>CX Design Lead</t>
  </si>
  <si>
    <t>CX Designer</t>
  </si>
  <si>
    <t>Google Developer</t>
  </si>
  <si>
    <t>BI Dashboard Lead</t>
  </si>
  <si>
    <t>BI Dashboard UI Developer</t>
  </si>
  <si>
    <t>ETL Developer</t>
  </si>
  <si>
    <t>Genesys Developer</t>
  </si>
  <si>
    <t>UI / UX Developer</t>
  </si>
  <si>
    <t>Fullstack Developer</t>
  </si>
  <si>
    <t>QA Lead</t>
  </si>
  <si>
    <t>Solution Architect</t>
  </si>
  <si>
    <t>CI Optimization Lead</t>
  </si>
  <si>
    <t>Data Analyst</t>
  </si>
  <si>
    <t>Google Support Lead</t>
  </si>
  <si>
    <t>Google Support</t>
  </si>
  <si>
    <t>Program Lead</t>
  </si>
  <si>
    <t>SAFe Coach</t>
  </si>
  <si>
    <t>RTE</t>
  </si>
  <si>
    <t>Product Owner</t>
  </si>
  <si>
    <t>Deployment</t>
  </si>
  <si>
    <t>Sub Band</t>
  </si>
  <si>
    <t>Location</t>
  </si>
  <si>
    <t>Role as per Rate Card</t>
  </si>
  <si>
    <t>Monthly Rate Card</t>
  </si>
  <si>
    <t>RATE LIST Employee</t>
  </si>
  <si>
    <t>A2</t>
  </si>
  <si>
    <t>India</t>
  </si>
  <si>
    <t>Band</t>
  </si>
  <si>
    <t>US</t>
  </si>
  <si>
    <t>UK</t>
  </si>
  <si>
    <t>PHP</t>
  </si>
  <si>
    <t>B1</t>
  </si>
  <si>
    <t>A</t>
  </si>
  <si>
    <t>B</t>
  </si>
  <si>
    <t>B2</t>
  </si>
  <si>
    <t>C</t>
  </si>
  <si>
    <t>C1</t>
  </si>
  <si>
    <t>D</t>
  </si>
  <si>
    <t>E</t>
  </si>
  <si>
    <t>C2</t>
  </si>
  <si>
    <t>D1</t>
  </si>
  <si>
    <t>RATE LIST Contractor</t>
  </si>
  <si>
    <t>D2</t>
  </si>
  <si>
    <t>E1</t>
  </si>
  <si>
    <t>Overall Program Lead</t>
  </si>
  <si>
    <t>Engagement Lead</t>
  </si>
  <si>
    <t>A1</t>
  </si>
  <si>
    <t>E2</t>
  </si>
  <si>
    <t>Cost Per Month</t>
  </si>
  <si>
    <t>Abhishek Ganguly</t>
  </si>
  <si>
    <t>Amit Jha</t>
  </si>
  <si>
    <t>Ananya Borah</t>
  </si>
  <si>
    <t>Krishna .</t>
  </si>
  <si>
    <t>Madhurima Boral</t>
  </si>
  <si>
    <t>Piyush Lahiry</t>
  </si>
  <si>
    <t>Pragya Sood</t>
  </si>
  <si>
    <t>Vipasha .</t>
  </si>
  <si>
    <t>Anne Rodelene Pelario Tigol</t>
  </si>
  <si>
    <t>Rajeev Kumar</t>
  </si>
  <si>
    <t>Rohit Vasant More</t>
  </si>
  <si>
    <t>Salabh Ankur</t>
  </si>
  <si>
    <t>Saurav Jawahar Rajwani</t>
  </si>
  <si>
    <t>Uddeshya Srivastava</t>
  </si>
  <si>
    <t>Koushik C S</t>
  </si>
  <si>
    <t>Aishani Bhatnagar</t>
  </si>
  <si>
    <t>Nirmal Jose P</t>
  </si>
  <si>
    <t>Nivedita Dixit</t>
  </si>
  <si>
    <t>Vivek Ramesh Hatwar</t>
  </si>
  <si>
    <t>Vinoth G</t>
  </si>
  <si>
    <t>Aanchal Garg</t>
  </si>
  <si>
    <t>Amar Utkarsh</t>
  </si>
  <si>
    <t>Niketa .</t>
  </si>
  <si>
    <t>Varshini Mahalingam</t>
  </si>
  <si>
    <t>Yashkumar Amrutlal Kavaiya</t>
  </si>
  <si>
    <t>Anuj Dubey</t>
  </si>
  <si>
    <t>Prashant Shewale</t>
  </si>
  <si>
    <t>Sachidanand Rai</t>
  </si>
  <si>
    <t>Manudeep Yalavali</t>
  </si>
  <si>
    <t>Soumyashree Dash</t>
  </si>
  <si>
    <t>Puneet Sharma</t>
  </si>
  <si>
    <t>Deepak Saini</t>
  </si>
  <si>
    <t>Ajeesh Balakrishnan</t>
  </si>
  <si>
    <t xml:space="preserve">Shalini Dey </t>
  </si>
  <si>
    <t>Ishita Koradia</t>
  </si>
  <si>
    <t>Pradeep Batchu</t>
  </si>
  <si>
    <t>Mitali Tripathi</t>
  </si>
  <si>
    <t>Harshil Andugulapati</t>
  </si>
  <si>
    <t>Ravi Khurana</t>
  </si>
  <si>
    <t>Divya Chaudhary</t>
  </si>
  <si>
    <t>Nihal Shaik</t>
  </si>
  <si>
    <t>Pranjal Gupta</t>
  </si>
  <si>
    <t>Natalia Militsa</t>
  </si>
  <si>
    <t>Mayur Shingavi</t>
  </si>
  <si>
    <t>Ankush Hora</t>
  </si>
  <si>
    <t>Project Code</t>
  </si>
  <si>
    <t>Emp ID</t>
  </si>
  <si>
    <t>HUM0001</t>
  </si>
  <si>
    <t>HUM0002</t>
  </si>
  <si>
    <t>Client Name</t>
  </si>
  <si>
    <t>Description</t>
  </si>
  <si>
    <t>Capability</t>
  </si>
  <si>
    <t>SOW SF ref</t>
  </si>
  <si>
    <t>Gross margin</t>
  </si>
  <si>
    <t>SOW Reveneue</t>
  </si>
  <si>
    <t>Project Revenue</t>
  </si>
  <si>
    <t>Abhishek191376</t>
  </si>
  <si>
    <t>Amit127844</t>
  </si>
  <si>
    <t>Ananya193970</t>
  </si>
  <si>
    <t>Madhurima217704</t>
  </si>
  <si>
    <t>Piyush231958</t>
  </si>
  <si>
    <t>Pragya262685</t>
  </si>
  <si>
    <t>Vipasha194680</t>
  </si>
  <si>
    <t>Anne219593</t>
  </si>
  <si>
    <t>Rajeev235383</t>
  </si>
  <si>
    <t>More186546</t>
  </si>
  <si>
    <t>Salabh264271</t>
  </si>
  <si>
    <t>Saurav240679</t>
  </si>
  <si>
    <t>Uddeshya220811</t>
  </si>
  <si>
    <t>Koushik264032</t>
  </si>
  <si>
    <t>Aishani262988</t>
  </si>
  <si>
    <t>Nirmal257506</t>
  </si>
  <si>
    <t>Nivedita190935</t>
  </si>
  <si>
    <t>Vivek261441</t>
  </si>
  <si>
    <t>Vinoth220450</t>
  </si>
  <si>
    <t>Aanchal261215</t>
  </si>
  <si>
    <t>Amar210603</t>
  </si>
  <si>
    <t>Niketa269475</t>
  </si>
  <si>
    <t>Varshini330835</t>
  </si>
  <si>
    <t>Yashkumar331467</t>
  </si>
  <si>
    <t>Anuj332005</t>
  </si>
  <si>
    <t>Prashant272119</t>
  </si>
  <si>
    <t>Sachidanand156765</t>
  </si>
  <si>
    <t>Manudeep251771</t>
  </si>
  <si>
    <t>Soumyashree332048</t>
  </si>
  <si>
    <t>Puneet262683</t>
  </si>
  <si>
    <t>Deepak214130</t>
  </si>
  <si>
    <t>Ajeesh87344</t>
  </si>
  <si>
    <t>Shalini334240</t>
  </si>
  <si>
    <t>Ishita273057</t>
  </si>
  <si>
    <t>kt_pradeepb</t>
  </si>
  <si>
    <t>re_nihals</t>
  </si>
  <si>
    <t>re_pranjalg</t>
  </si>
  <si>
    <t>Natalia203158</t>
  </si>
  <si>
    <t>Mayur16520</t>
  </si>
  <si>
    <t>Ankush134427</t>
  </si>
  <si>
    <t>TRIM</t>
  </si>
  <si>
    <t>Working</t>
  </si>
  <si>
    <t>Grand Total</t>
  </si>
  <si>
    <t>Count of Emp ID</t>
  </si>
  <si>
    <t>Sum of Total Cost</t>
  </si>
  <si>
    <t>Values</t>
  </si>
  <si>
    <t>Jan-26</t>
  </si>
  <si>
    <t>Auto Case - Auto Total</t>
  </si>
  <si>
    <t>Auto Case - Pharma D Total</t>
  </si>
  <si>
    <t>Total</t>
  </si>
  <si>
    <t>Period (Monthly)</t>
  </si>
  <si>
    <t>Period (Month)</t>
  </si>
  <si>
    <t>Currency</t>
  </si>
  <si>
    <t>31-03-2026</t>
  </si>
  <si>
    <t>Month</t>
  </si>
  <si>
    <t>Emp. Code</t>
  </si>
  <si>
    <t>Emp. Name</t>
  </si>
  <si>
    <t>Allocation%</t>
  </si>
  <si>
    <t>RAG Status</t>
  </si>
  <si>
    <t>Monthly Cost</t>
  </si>
  <si>
    <t>Cumulative Project Cost</t>
  </si>
  <si>
    <t>Gross Margin%</t>
  </si>
  <si>
    <t>Revenue Till Date</t>
  </si>
  <si>
    <t>Remaining Budget</t>
  </si>
  <si>
    <t>Emp Code</t>
  </si>
  <si>
    <t>Emp Name</t>
  </si>
  <si>
    <t>Utilisation Status</t>
  </si>
  <si>
    <t>Total Allocation%</t>
  </si>
  <si>
    <t>Months Count</t>
  </si>
  <si>
    <t>Avg Utilisation%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</si>
</sst>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d\-mmm\-yy;@"/>
    <numFmt numFmtId="165" formatCode="[$-409]mmm\-yy;@"/>
    <numFmt numFmtId="166" formatCode="_(* #,##0_);_(* \(#,##0\);_(* &quot;-&quot;??_);_(@_)"/>
  </numFmts>
  <fonts count="12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10"/>
      <color rgb="FFFF0000"/>
      <name val="Calibri"/>
      <family val="2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i/>
      <sz val="10"/>
      <color theme="0"/>
      <name val="Calibri"/>
      <family val="2"/>
    </font>
    <font>
      <sz val="10"/>
      <name val="Calibri"/>
      <family val="2"/>
    </font>
    <font>
      <sz val="10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4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4" fillId="0" borderId="0" xfId="0" applyFont="1"/>
    <xf numFmtId="0" fontId="6" fillId="0" borderId="0" xfId="0" applyFont="1"/>
    <xf numFmtId="164" fontId="1" fillId="0" borderId="0" xfId="0" applyNumberFormat="1" applyFont="1"/>
    <xf numFmtId="43" fontId="1" fillId="0" borderId="0" xfId="1" applyFont="1"/>
    <xf numFmtId="0" fontId="7" fillId="4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43" fontId="7" fillId="4" borderId="2" xfId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1" fillId="0" borderId="1" xfId="0" applyFont="1" applyBorder="1"/>
    <xf numFmtId="0" fontId="1" fillId="6" borderId="1" xfId="0" applyFont="1" applyFill="1" applyBorder="1"/>
    <xf numFmtId="0" fontId="2" fillId="0" borderId="6" xfId="0" applyFont="1" applyBorder="1"/>
    <xf numFmtId="0" fontId="2" fillId="0" borderId="7" xfId="0" applyFont="1" applyBorder="1"/>
    <xf numFmtId="0" fontId="1" fillId="0" borderId="6" xfId="0" applyFont="1" applyBorder="1"/>
    <xf numFmtId="43" fontId="1" fillId="0" borderId="0" xfId="1" applyFont="1" applyBorder="1"/>
    <xf numFmtId="43" fontId="1" fillId="0" borderId="7" xfId="1" applyFont="1" applyBorder="1"/>
    <xf numFmtId="0" fontId="1" fillId="0" borderId="8" xfId="0" applyFont="1" applyBorder="1"/>
    <xf numFmtId="43" fontId="1" fillId="0" borderId="9" xfId="1" applyFont="1" applyBorder="1"/>
    <xf numFmtId="43" fontId="1" fillId="0" borderId="10" xfId="1" applyFont="1" applyBorder="1"/>
    <xf numFmtId="0" fontId="7" fillId="4" borderId="11" xfId="0" applyFont="1" applyFill="1" applyBorder="1" applyAlignment="1">
      <alignment horizontal="center"/>
    </xf>
    <xf numFmtId="43" fontId="2" fillId="0" borderId="0" xfId="1" applyFont="1"/>
    <xf numFmtId="9" fontId="1" fillId="0" borderId="0" xfId="0" applyNumberFormat="1" applyFont="1"/>
    <xf numFmtId="165" fontId="2" fillId="7" borderId="0" xfId="0" applyNumberFormat="1" applyFont="1" applyFill="1" applyAlignment="1">
      <alignment horizontal="center"/>
    </xf>
    <xf numFmtId="165" fontId="1" fillId="0" borderId="0" xfId="0" applyNumberFormat="1" applyFont="1"/>
    <xf numFmtId="166" fontId="1" fillId="0" borderId="0" xfId="1" applyNumberFormat="1" applyFont="1"/>
    <xf numFmtId="9" fontId="1" fillId="0" borderId="0" xfId="2" applyFont="1"/>
    <xf numFmtId="0" fontId="1" fillId="0" borderId="0" xfId="0" pivotButton="1" applyFont="1"/>
    <xf numFmtId="0" fontId="9" fillId="0" borderId="0" xfId="0" applyFont="1"/>
    <xf numFmtId="43" fontId="1" fillId="0" borderId="0" xfId="0" applyNumberFormat="1" applyFont="1"/>
    <xf numFmtId="0" fontId="2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165" fontId="9" fillId="0" borderId="0" xfId="0" applyNumberFormat="1" applyFont="1"/>
    <xf numFmtId="43" fontId="9" fillId="0" borderId="0" xfId="1" applyFont="1"/>
    <xf numFmtId="166" fontId="9" fillId="0" borderId="0" xfId="1" applyNumberFormat="1" applyFont="1"/>
    <xf numFmtId="166" fontId="9" fillId="0" borderId="0" xfId="0" applyNumberFormat="1" applyFont="1"/>
    <xf numFmtId="43" fontId="11" fillId="0" borderId="0" xfId="1" applyFont="1"/>
    <xf numFmtId="14" fontId="11" fillId="0" borderId="0" xfId="0" applyNumberFormat="1" applyFont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106"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ishali Anand" refreshedDate="46043.500151504632" createdVersion="8" refreshedVersion="8" minRefreshableVersion="3" recordCount="45" xr:uid="{C9257838-517B-46C4-8E7A-47643535A349}">
  <cacheSource type="worksheet">
    <worksheetSource ref="A1:X46" sheet="Monthly Resource Allocation"/>
  </cacheSource>
  <cacheFields count="24">
    <cacheField name="TRIM" numFmtId="0">
      <sharedItems/>
    </cacheField>
    <cacheField name="Project Code" numFmtId="0">
      <sharedItems count="2">
        <s v="HUM0001"/>
        <s v="HUM0002"/>
      </sharedItems>
    </cacheField>
    <cacheField name="Project Name" numFmtId="0">
      <sharedItems count="2">
        <s v="Auto Case - Auto"/>
        <s v="Auto Case - Pharma D"/>
      </sharedItems>
    </cacheField>
    <cacheField name="Emp ID" numFmtId="0">
      <sharedItems containsMixedTypes="1" containsNumber="1" containsInteger="1" minValue="10125" maxValue="19033"/>
    </cacheField>
    <cacheField name="Employee Name" numFmtId="0">
      <sharedItems count="45">
        <s v="Abhishek Ganguly"/>
        <s v="Amit Jha"/>
        <s v="Ananya Borah"/>
        <s v="Krishna ."/>
        <s v="Madhurima Boral"/>
        <s v="Piyush Lahiry"/>
        <s v="Pragya Sood"/>
        <s v="Vipasha ."/>
        <s v="Anne Rodelene Pelario Tigol"/>
        <s v="Rajeev Kumar"/>
        <s v="Rohit Vasant More"/>
        <s v="Salabh Ankur"/>
        <s v="Saurav Jawahar Rajwani"/>
        <s v="Uddeshya Srivastava"/>
        <s v="Koushik C S"/>
        <s v="Aishani Bhatnagar"/>
        <s v="Nirmal Jose P"/>
        <s v="Nivedita Dixit"/>
        <s v="Vivek Ramesh Hatwar"/>
        <s v="Vinoth G"/>
        <s v="Aanchal Garg"/>
        <s v="Amar Utkarsh"/>
        <s v="Niketa ."/>
        <s v="Varshini Mahalingam"/>
        <s v="Yashkumar Amrutlal Kavaiya"/>
        <s v="Anuj Dubey"/>
        <s v="Prashant Shewale"/>
        <s v="Sachidanand Rai"/>
        <s v="Manudeep Yalavali"/>
        <s v="Soumyashree Dash"/>
        <s v="Puneet Sharma"/>
        <s v="Deepak Saini"/>
        <s v="Ajeesh Balakrishnan"/>
        <s v="Shalini Dey "/>
        <s v="Ishita Koradia"/>
        <s v="Pradeep Batchu"/>
        <s v="Mitali Tripathi"/>
        <s v="Harshil Andugulapati"/>
        <s v="Ravi Khurana"/>
        <s v="Divya Chaudhary"/>
        <s v="Nihal Shaik"/>
        <s v="Pranjal Gupta"/>
        <s v="Natalia Militsa"/>
        <s v="Mayur Shingavi"/>
        <s v="Ankush Hora"/>
      </sharedItems>
    </cacheField>
    <cacheField name="Emp/Contractor" numFmtId="0">
      <sharedItems/>
    </cacheField>
    <cacheField name="Band" numFmtId="0">
      <sharedItems/>
    </cacheField>
    <cacheField name="Working" numFmtId="0">
      <sharedItems/>
    </cacheField>
    <cacheField name="Location" numFmtId="0">
      <sharedItems/>
    </cacheField>
    <cacheField name="Role" numFmtId="0">
      <sharedItems containsMixedTypes="1" containsNumber="1" containsInteger="1" minValue="0" maxValue="0"/>
    </cacheField>
    <cacheField name="Cost Per Month" numFmtId="43">
      <sharedItems containsSemiMixedTypes="0" containsString="0" containsNumber="1" minValue="1474.7122252251809" maxValue="38837.378958094479"/>
    </cacheField>
    <cacheField name="Jan-26" numFmtId="9">
      <sharedItems containsSemiMixedTypes="0" containsString="0" containsNumber="1" minValue="0.25" maxValue="1" count="2">
        <n v="0.25"/>
        <n v="1"/>
      </sharedItems>
    </cacheField>
    <cacheField name="Feb-26" numFmtId="9">
      <sharedItems containsSemiMixedTypes="0" containsString="0" containsNumber="1" minValue="0.25" maxValue="1"/>
    </cacheField>
    <cacheField name="Mar-26" numFmtId="9">
      <sharedItems containsSemiMixedTypes="0" containsString="0" containsNumber="1" containsInteger="1" minValue="0" maxValue="0"/>
    </cacheField>
    <cacheField name="Apr-26" numFmtId="9">
      <sharedItems containsSemiMixedTypes="0" containsString="0" containsNumber="1" containsInteger="1" minValue="0" maxValue="0"/>
    </cacheField>
    <cacheField name="May-26" numFmtId="9">
      <sharedItems containsSemiMixedTypes="0" containsString="0" containsNumber="1" containsInteger="1" minValue="0" maxValue="0"/>
    </cacheField>
    <cacheField name="Jun-26" numFmtId="9">
      <sharedItems containsSemiMixedTypes="0" containsString="0" containsNumber="1" containsInteger="1" minValue="0" maxValue="0"/>
    </cacheField>
    <cacheField name="Jul-26" numFmtId="9">
      <sharedItems containsSemiMixedTypes="0" containsString="0" containsNumber="1" containsInteger="1" minValue="0" maxValue="0"/>
    </cacheField>
    <cacheField name="Aug-26" numFmtId="9">
      <sharedItems containsSemiMixedTypes="0" containsString="0" containsNumber="1" containsInteger="1" minValue="0" maxValue="0"/>
    </cacheField>
    <cacheField name="Sep-26" numFmtId="9">
      <sharedItems containsSemiMixedTypes="0" containsString="0" containsNumber="1" containsInteger="1" minValue="0" maxValue="0"/>
    </cacheField>
    <cacheField name="Oct-26" numFmtId="9">
      <sharedItems containsSemiMixedTypes="0" containsString="0" containsNumber="1" containsInteger="1" minValue="0" maxValue="0"/>
    </cacheField>
    <cacheField name="Nov-26" numFmtId="9">
      <sharedItems containsSemiMixedTypes="0" containsString="0" containsNumber="1" containsInteger="1" minValue="0" maxValue="0"/>
    </cacheField>
    <cacheField name="Dec-26" numFmtId="9">
      <sharedItems containsSemiMixedTypes="0" containsString="0" containsNumber="1" containsInteger="1" minValue="0" maxValue="0"/>
    </cacheField>
    <cacheField name="Total Cost" numFmtId="43">
      <sharedItems containsSemiMixedTypes="0" containsString="0" containsNumber="1" minValue="737.35611261259044" maxValue="77674.7579161889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s v="QAIndiaA2"/>
    <x v="0"/>
    <x v="0"/>
    <s v="Abhishek191376"/>
    <x v="0"/>
    <s v="Employee"/>
    <s v="A2"/>
    <s v="A"/>
    <s v="India"/>
    <s v="QA"/>
    <n v="1474.7122252251809"/>
    <x v="0"/>
    <n v="0.25"/>
    <n v="0"/>
    <n v="0"/>
    <n v="0"/>
    <n v="0"/>
    <n v="0"/>
    <n v="0"/>
    <n v="0"/>
    <n v="0"/>
    <n v="0"/>
    <n v="0"/>
    <n v="737.35611261259044"/>
  </r>
  <r>
    <s v="0IndiaD2"/>
    <x v="0"/>
    <x v="0"/>
    <s v="Amit127844"/>
    <x v="1"/>
    <s v="Employee"/>
    <s v="D2"/>
    <s v="D"/>
    <s v="India"/>
    <n v="0"/>
    <n v="10852.347890782839"/>
    <x v="1"/>
    <n v="1"/>
    <n v="0"/>
    <n v="0"/>
    <n v="0"/>
    <n v="0"/>
    <n v="0"/>
    <n v="0"/>
    <n v="0"/>
    <n v="0"/>
    <n v="0"/>
    <n v="0"/>
    <n v="21704.695781565679"/>
  </r>
  <r>
    <s v="CX DesignerIndiaC2"/>
    <x v="0"/>
    <x v="0"/>
    <s v="Ananya193970"/>
    <x v="2"/>
    <s v="Employee"/>
    <s v="C2"/>
    <s v="C"/>
    <s v="India"/>
    <s v="CX Designer"/>
    <n v="5716.2812190976911"/>
    <x v="1"/>
    <n v="1"/>
    <n v="0"/>
    <n v="0"/>
    <n v="0"/>
    <n v="0"/>
    <n v="0"/>
    <n v="0"/>
    <n v="0"/>
    <n v="0"/>
    <n v="0"/>
    <n v="0"/>
    <n v="11432.562438195382"/>
  </r>
  <r>
    <s v="CX DesignerIndiaC1"/>
    <x v="1"/>
    <x v="1"/>
    <n v="10125"/>
    <x v="3"/>
    <s v="Employee"/>
    <s v="C1"/>
    <s v="C"/>
    <s v="India"/>
    <s v="CX Designer"/>
    <n v="5716.2812190976911"/>
    <x v="1"/>
    <n v="1"/>
    <n v="0"/>
    <n v="0"/>
    <n v="0"/>
    <n v="0"/>
    <n v="0"/>
    <n v="0"/>
    <n v="0"/>
    <n v="0"/>
    <n v="0"/>
    <n v="0"/>
    <n v="11432.562438195382"/>
  </r>
  <r>
    <s v="CX DesignerIndiaB1"/>
    <x v="1"/>
    <x v="1"/>
    <s v="Madhurima217704"/>
    <x v="4"/>
    <s v="Employee"/>
    <s v="B1"/>
    <s v="B"/>
    <s v="India"/>
    <s v="CX Designer"/>
    <n v="3151.7247623942949"/>
    <x v="1"/>
    <n v="1"/>
    <n v="0"/>
    <n v="0"/>
    <n v="0"/>
    <n v="0"/>
    <n v="0"/>
    <n v="0"/>
    <n v="0"/>
    <n v="0"/>
    <n v="0"/>
    <n v="0"/>
    <n v="6303.4495247885898"/>
  </r>
  <r>
    <s v="Google Tech LeadIndiaC1"/>
    <x v="0"/>
    <x v="0"/>
    <s v="Piyush231958"/>
    <x v="5"/>
    <s v="Employee"/>
    <s v="C1"/>
    <s v="C"/>
    <s v="India"/>
    <s v="Google Tech Lead"/>
    <n v="5716.2812190976911"/>
    <x v="1"/>
    <n v="1"/>
    <n v="0"/>
    <n v="0"/>
    <n v="0"/>
    <n v="0"/>
    <n v="0"/>
    <n v="0"/>
    <n v="0"/>
    <n v="0"/>
    <n v="0"/>
    <n v="0"/>
    <n v="11432.562438195382"/>
  </r>
  <r>
    <s v="QA LeadIndiaC2"/>
    <x v="0"/>
    <x v="0"/>
    <s v="Pragya262685"/>
    <x v="6"/>
    <s v="Employee"/>
    <s v="C2"/>
    <s v="C"/>
    <s v="India"/>
    <s v="QA Lead"/>
    <n v="5716.2812190976911"/>
    <x v="1"/>
    <n v="1"/>
    <n v="0"/>
    <n v="0"/>
    <n v="0"/>
    <n v="0"/>
    <n v="0"/>
    <n v="0"/>
    <n v="0"/>
    <n v="0"/>
    <n v="0"/>
    <n v="0"/>
    <n v="11432.562438195382"/>
  </r>
  <r>
    <s v="Google Tech LeadIndiaC1"/>
    <x v="0"/>
    <x v="0"/>
    <s v="Vipasha194680"/>
    <x v="7"/>
    <s v="Employee"/>
    <s v="C1"/>
    <s v="C"/>
    <s v="India"/>
    <s v="Google Tech Lead"/>
    <n v="5716.2812190976911"/>
    <x v="1"/>
    <n v="1"/>
    <n v="0"/>
    <n v="0"/>
    <n v="0"/>
    <n v="0"/>
    <n v="0"/>
    <n v="0"/>
    <n v="0"/>
    <n v="0"/>
    <n v="0"/>
    <n v="0"/>
    <n v="11432.562438195382"/>
  </r>
  <r>
    <s v="Project ManagerPHPD1"/>
    <x v="1"/>
    <x v="1"/>
    <s v="Anne219593"/>
    <x v="8"/>
    <s v="Employee"/>
    <s v="D1"/>
    <s v="D"/>
    <s v="PHP"/>
    <s v="Project Manager"/>
    <n v="16292.776011271362"/>
    <x v="1"/>
    <n v="1"/>
    <n v="0"/>
    <n v="0"/>
    <n v="0"/>
    <n v="0"/>
    <n v="0"/>
    <n v="0"/>
    <n v="0"/>
    <n v="0"/>
    <n v="0"/>
    <n v="0"/>
    <n v="32585.552022542724"/>
  </r>
  <r>
    <s v="Google Tech LeadIndiaC2"/>
    <x v="1"/>
    <x v="1"/>
    <s v="Rajeev235383"/>
    <x v="9"/>
    <s v="Employee"/>
    <s v="C2"/>
    <s v="C"/>
    <s v="India"/>
    <s v="Google Tech Lead"/>
    <n v="5716.2812190976911"/>
    <x v="1"/>
    <n v="1"/>
    <n v="0"/>
    <n v="0"/>
    <n v="0"/>
    <n v="0"/>
    <n v="0"/>
    <n v="0"/>
    <n v="0"/>
    <n v="0"/>
    <n v="0"/>
    <n v="0"/>
    <n v="11432.562438195382"/>
  </r>
  <r>
    <s v="Business AnalystIndiaC2"/>
    <x v="0"/>
    <x v="0"/>
    <s v="More186546"/>
    <x v="10"/>
    <s v="Employee"/>
    <s v="C2"/>
    <s v="C"/>
    <s v="India"/>
    <s v="Business Analyst"/>
    <n v="5716.2812190976911"/>
    <x v="1"/>
    <n v="1"/>
    <n v="0"/>
    <n v="0"/>
    <n v="0"/>
    <n v="0"/>
    <n v="0"/>
    <n v="0"/>
    <n v="0"/>
    <n v="0"/>
    <n v="0"/>
    <n v="0"/>
    <n v="11432.562438195382"/>
  </r>
  <r>
    <s v="Google Delivery LeadIndiaD1"/>
    <x v="0"/>
    <x v="0"/>
    <s v="Salabh264271"/>
    <x v="11"/>
    <s v="Employee"/>
    <s v="D1"/>
    <s v="D"/>
    <s v="India"/>
    <s v="Google Delivery Lead"/>
    <n v="10852.347890782839"/>
    <x v="1"/>
    <n v="1"/>
    <n v="0"/>
    <n v="0"/>
    <n v="0"/>
    <n v="0"/>
    <n v="0"/>
    <n v="0"/>
    <n v="0"/>
    <n v="0"/>
    <n v="0"/>
    <n v="0"/>
    <n v="21704.695781565679"/>
  </r>
  <r>
    <s v="Google DeveloperIndiaB2"/>
    <x v="0"/>
    <x v="0"/>
    <s v="Saurav240679"/>
    <x v="12"/>
    <s v="Employee"/>
    <s v="B2"/>
    <s v="B"/>
    <s v="India"/>
    <s v="Google Developer"/>
    <n v="3151.7247623942949"/>
    <x v="1"/>
    <n v="1"/>
    <n v="0"/>
    <n v="0"/>
    <n v="0"/>
    <n v="0"/>
    <n v="0"/>
    <n v="0"/>
    <n v="0"/>
    <n v="0"/>
    <n v="0"/>
    <n v="0"/>
    <n v="6303.4495247885898"/>
  </r>
  <r>
    <s v="Google DeveloperIndiaB1"/>
    <x v="1"/>
    <x v="1"/>
    <s v="Uddeshya220811"/>
    <x v="13"/>
    <s v="Employee"/>
    <s v="B1"/>
    <s v="B"/>
    <s v="India"/>
    <s v="Google Developer"/>
    <n v="3151.7247623942949"/>
    <x v="1"/>
    <n v="1"/>
    <n v="0"/>
    <n v="0"/>
    <n v="0"/>
    <n v="0"/>
    <n v="0"/>
    <n v="0"/>
    <n v="0"/>
    <n v="0"/>
    <n v="0"/>
    <n v="0"/>
    <n v="6303.4495247885898"/>
  </r>
  <r>
    <s v="Google DeveloperIndiaB1"/>
    <x v="1"/>
    <x v="1"/>
    <s v="Koushik264032"/>
    <x v="14"/>
    <s v="Employee"/>
    <s v="B1"/>
    <s v="B"/>
    <s v="India"/>
    <s v="Google Developer"/>
    <n v="3151.7247623942949"/>
    <x v="1"/>
    <n v="1"/>
    <n v="0"/>
    <n v="0"/>
    <n v="0"/>
    <n v="0"/>
    <n v="0"/>
    <n v="0"/>
    <n v="0"/>
    <n v="0"/>
    <n v="0"/>
    <n v="0"/>
    <n v="6303.4495247885898"/>
  </r>
  <r>
    <s v="Data AnalystIndiaB1"/>
    <x v="0"/>
    <x v="0"/>
    <s v="Aishani262988"/>
    <x v="15"/>
    <s v="Employee"/>
    <s v="B1"/>
    <s v="B"/>
    <s v="India"/>
    <s v="Data Analyst"/>
    <n v="3151.7247623942949"/>
    <x v="1"/>
    <n v="1"/>
    <n v="0"/>
    <n v="0"/>
    <n v="0"/>
    <n v="0"/>
    <n v="0"/>
    <n v="0"/>
    <n v="0"/>
    <n v="0"/>
    <n v="0"/>
    <n v="0"/>
    <n v="6303.4495247885898"/>
  </r>
  <r>
    <s v="Data AnalystIndiaC2"/>
    <x v="0"/>
    <x v="0"/>
    <s v="Nirmal257506"/>
    <x v="16"/>
    <s v="Employee"/>
    <s v="C2"/>
    <s v="C"/>
    <s v="India"/>
    <s v="Data Analyst"/>
    <n v="5716.2812190976911"/>
    <x v="1"/>
    <n v="1"/>
    <n v="0"/>
    <n v="0"/>
    <n v="0"/>
    <n v="0"/>
    <n v="0"/>
    <n v="0"/>
    <n v="0"/>
    <n v="0"/>
    <n v="0"/>
    <n v="0"/>
    <n v="11432.562438195382"/>
  </r>
  <r>
    <s v="QAIndiaB2"/>
    <x v="0"/>
    <x v="0"/>
    <s v="Nivedita190935"/>
    <x v="17"/>
    <s v="Employee"/>
    <s v="B2"/>
    <s v="B"/>
    <s v="India"/>
    <s v="QA"/>
    <n v="3151.7247623942949"/>
    <x v="1"/>
    <n v="1"/>
    <n v="0"/>
    <n v="0"/>
    <n v="0"/>
    <n v="0"/>
    <n v="0"/>
    <n v="0"/>
    <n v="0"/>
    <n v="0"/>
    <n v="0"/>
    <n v="0"/>
    <n v="6303.4495247885898"/>
  </r>
  <r>
    <s v="QAIndiaC1"/>
    <x v="1"/>
    <x v="1"/>
    <s v="Vivek261441"/>
    <x v="18"/>
    <s v="Employee"/>
    <s v="C1"/>
    <s v="C"/>
    <s v="India"/>
    <s v="QA"/>
    <n v="5716.2812190976911"/>
    <x v="1"/>
    <n v="1"/>
    <n v="0"/>
    <n v="0"/>
    <n v="0"/>
    <n v="0"/>
    <n v="0"/>
    <n v="0"/>
    <n v="0"/>
    <n v="0"/>
    <n v="0"/>
    <n v="0"/>
    <n v="11432.562438195382"/>
  </r>
  <r>
    <s v="CI Optimization LeadIndiaD2"/>
    <x v="1"/>
    <x v="1"/>
    <s v="Vinoth220450"/>
    <x v="19"/>
    <s v="Employee"/>
    <s v="D2"/>
    <s v="D"/>
    <s v="India"/>
    <s v="CI Optimization Lead"/>
    <n v="10852.347890782839"/>
    <x v="1"/>
    <n v="1"/>
    <n v="0"/>
    <n v="0"/>
    <n v="0"/>
    <n v="0"/>
    <n v="0"/>
    <n v="0"/>
    <n v="0"/>
    <n v="0"/>
    <n v="0"/>
    <n v="0"/>
    <n v="21704.695781565679"/>
  </r>
  <r>
    <s v="QAIndiaB1"/>
    <x v="0"/>
    <x v="0"/>
    <s v="Aanchal261215"/>
    <x v="20"/>
    <s v="Employee"/>
    <s v="B1"/>
    <s v="B"/>
    <s v="India"/>
    <s v="QA"/>
    <n v="3151.7247623942949"/>
    <x v="1"/>
    <n v="1"/>
    <n v="0"/>
    <n v="0"/>
    <n v="0"/>
    <n v="0"/>
    <n v="0"/>
    <n v="0"/>
    <n v="0"/>
    <n v="0"/>
    <n v="0"/>
    <n v="0"/>
    <n v="6303.4495247885898"/>
  </r>
  <r>
    <s v="Business AnalystIndiaC1"/>
    <x v="0"/>
    <x v="0"/>
    <s v="Amar210603"/>
    <x v="21"/>
    <s v="Employee"/>
    <s v="C1"/>
    <s v="C"/>
    <s v="India"/>
    <s v="Business Analyst"/>
    <n v="5716.2812190976911"/>
    <x v="1"/>
    <n v="1"/>
    <n v="0"/>
    <n v="0"/>
    <n v="0"/>
    <n v="0"/>
    <n v="0"/>
    <n v="0"/>
    <n v="0"/>
    <n v="0"/>
    <n v="0"/>
    <n v="0"/>
    <n v="11432.562438195382"/>
  </r>
  <r>
    <s v="CI Optimization LeadIndiaD1"/>
    <x v="0"/>
    <x v="0"/>
    <s v="Niketa269475"/>
    <x v="22"/>
    <s v="Employee"/>
    <s v="D1"/>
    <s v="D"/>
    <s v="India"/>
    <s v="CI Optimization Lead"/>
    <n v="10852.347890782839"/>
    <x v="1"/>
    <n v="1"/>
    <n v="0"/>
    <n v="0"/>
    <n v="0"/>
    <n v="0"/>
    <n v="0"/>
    <n v="0"/>
    <n v="0"/>
    <n v="0"/>
    <n v="0"/>
    <n v="0"/>
    <n v="21704.695781565679"/>
  </r>
  <r>
    <s v="Google SupportIndiaC1"/>
    <x v="1"/>
    <x v="1"/>
    <s v="Varshini330835"/>
    <x v="23"/>
    <s v="Employee"/>
    <s v="C1"/>
    <s v="C"/>
    <s v="India"/>
    <s v="Google Support"/>
    <n v="5716.2812190976911"/>
    <x v="1"/>
    <n v="1"/>
    <n v="0"/>
    <n v="0"/>
    <n v="0"/>
    <n v="0"/>
    <n v="0"/>
    <n v="0"/>
    <n v="0"/>
    <n v="0"/>
    <n v="0"/>
    <n v="0"/>
    <n v="11432.562438195382"/>
  </r>
  <r>
    <s v="Google SupportIndiaB2"/>
    <x v="1"/>
    <x v="1"/>
    <s v="Yashkumar331467"/>
    <x v="24"/>
    <s v="Employee"/>
    <s v="B2"/>
    <s v="B"/>
    <s v="India"/>
    <s v="Google Support"/>
    <n v="3151.7247623942949"/>
    <x v="1"/>
    <n v="1"/>
    <n v="0"/>
    <n v="0"/>
    <n v="0"/>
    <n v="0"/>
    <n v="0"/>
    <n v="0"/>
    <n v="0"/>
    <n v="0"/>
    <n v="0"/>
    <n v="0"/>
    <n v="6303.4495247885898"/>
  </r>
  <r>
    <s v="Data AnalystIndiaB2"/>
    <x v="0"/>
    <x v="0"/>
    <s v="Anuj332005"/>
    <x v="25"/>
    <s v="Employee"/>
    <s v="B2"/>
    <s v="B"/>
    <s v="India"/>
    <s v="Data Analyst"/>
    <n v="3151.7247623942949"/>
    <x v="1"/>
    <n v="1"/>
    <n v="0"/>
    <n v="0"/>
    <n v="0"/>
    <n v="0"/>
    <n v="0"/>
    <n v="0"/>
    <n v="0"/>
    <n v="0"/>
    <n v="0"/>
    <n v="0"/>
    <n v="6303.4495247885898"/>
  </r>
  <r>
    <s v="Google Support LeadIndiaC1"/>
    <x v="0"/>
    <x v="0"/>
    <s v="Prashant272119"/>
    <x v="26"/>
    <s v="Employee"/>
    <s v="C1"/>
    <s v="C"/>
    <s v="India"/>
    <s v="Google Support Lead"/>
    <n v="5716.2812190976911"/>
    <x v="1"/>
    <n v="1"/>
    <n v="0"/>
    <n v="0"/>
    <n v="0"/>
    <n v="0"/>
    <n v="0"/>
    <n v="0"/>
    <n v="0"/>
    <n v="0"/>
    <n v="0"/>
    <n v="0"/>
    <n v="11432.562438195382"/>
  </r>
  <r>
    <s v="Solution ArchitectIndiaD2"/>
    <x v="0"/>
    <x v="0"/>
    <s v="Sachidanand156765"/>
    <x v="27"/>
    <s v="Employee"/>
    <s v="D2"/>
    <s v="D"/>
    <s v="India"/>
    <s v="Solution Architect"/>
    <n v="10852.347890782839"/>
    <x v="1"/>
    <n v="1"/>
    <n v="0"/>
    <n v="0"/>
    <n v="0"/>
    <n v="0"/>
    <n v="0"/>
    <n v="0"/>
    <n v="0"/>
    <n v="0"/>
    <n v="0"/>
    <n v="0"/>
    <n v="21704.695781565679"/>
  </r>
  <r>
    <s v="Solution ArchitectIndiaD2"/>
    <x v="1"/>
    <x v="1"/>
    <s v="Manudeep251771"/>
    <x v="28"/>
    <s v="Employee"/>
    <s v="D2"/>
    <s v="D"/>
    <s v="India"/>
    <s v="Solution Architect"/>
    <n v="10852.347890782839"/>
    <x v="1"/>
    <n v="1"/>
    <n v="0"/>
    <n v="0"/>
    <n v="0"/>
    <n v="0"/>
    <n v="0"/>
    <n v="0"/>
    <n v="0"/>
    <n v="0"/>
    <n v="0"/>
    <n v="0"/>
    <n v="21704.695781565679"/>
  </r>
  <r>
    <s v="QAUSC1"/>
    <x v="1"/>
    <x v="1"/>
    <s v="Soumyashree332048"/>
    <x v="29"/>
    <s v="Employee"/>
    <s v="C1"/>
    <s v="C"/>
    <s v="US"/>
    <s v="QA"/>
    <n v="24372.163307834468"/>
    <x v="1"/>
    <n v="1"/>
    <n v="0"/>
    <n v="0"/>
    <n v="0"/>
    <n v="0"/>
    <n v="0"/>
    <n v="0"/>
    <n v="0"/>
    <n v="0"/>
    <n v="0"/>
    <n v="0"/>
    <n v="48744.326615668935"/>
  </r>
  <r>
    <s v="Integration LeadIndiaC2"/>
    <x v="0"/>
    <x v="0"/>
    <s v="Puneet262683"/>
    <x v="30"/>
    <s v="Employee"/>
    <s v="C2"/>
    <s v="C"/>
    <s v="India"/>
    <s v="Integration Lead"/>
    <n v="5716.2812190976911"/>
    <x v="1"/>
    <n v="1"/>
    <n v="0"/>
    <n v="0"/>
    <n v="0"/>
    <n v="0"/>
    <n v="0"/>
    <n v="0"/>
    <n v="0"/>
    <n v="0"/>
    <n v="0"/>
    <n v="0"/>
    <n v="11432.562438195382"/>
  </r>
  <r>
    <s v="Genesys DeveloperIndiaC1"/>
    <x v="0"/>
    <x v="0"/>
    <s v="Deepak214130"/>
    <x v="31"/>
    <s v="Employee"/>
    <s v="C1"/>
    <s v="C"/>
    <s v="India"/>
    <s v="Genesys Developer"/>
    <n v="5716.2812190976911"/>
    <x v="1"/>
    <n v="1"/>
    <n v="0"/>
    <n v="0"/>
    <n v="0"/>
    <n v="0"/>
    <n v="0"/>
    <n v="0"/>
    <n v="0"/>
    <n v="0"/>
    <n v="0"/>
    <n v="0"/>
    <n v="11432.562438195382"/>
  </r>
  <r>
    <s v="Program LeadUSD2"/>
    <x v="0"/>
    <x v="0"/>
    <s v="Ajeesh87344"/>
    <x v="32"/>
    <s v="Employee"/>
    <s v="D2"/>
    <s v="D"/>
    <s v="US"/>
    <s v="Program Lead"/>
    <n v="34733.886102105265"/>
    <x v="1"/>
    <n v="1"/>
    <n v="0"/>
    <n v="0"/>
    <n v="0"/>
    <n v="0"/>
    <n v="0"/>
    <n v="0"/>
    <n v="0"/>
    <n v="0"/>
    <n v="0"/>
    <n v="0"/>
    <n v="69467.772204210531"/>
  </r>
  <r>
    <s v="Google DeveloperIndiaC1"/>
    <x v="1"/>
    <x v="1"/>
    <s v="Shalini334240"/>
    <x v="33"/>
    <s v="Employee"/>
    <s v="C1"/>
    <s v="C"/>
    <s v="India"/>
    <s v="Google Developer"/>
    <n v="5716.2812190976911"/>
    <x v="1"/>
    <n v="1"/>
    <n v="0"/>
    <n v="0"/>
    <n v="0"/>
    <n v="0"/>
    <n v="0"/>
    <n v="0"/>
    <n v="0"/>
    <n v="0"/>
    <n v="0"/>
    <n v="0"/>
    <n v="11432.562438195382"/>
  </r>
  <r>
    <s v="Google DeveloperIndiaB1"/>
    <x v="1"/>
    <x v="1"/>
    <s v="Ishita273057"/>
    <x v="34"/>
    <s v="Employee"/>
    <s v="B1"/>
    <s v="B"/>
    <s v="India"/>
    <s v="Google Developer"/>
    <n v="3151.7247623942949"/>
    <x v="1"/>
    <n v="1"/>
    <n v="0"/>
    <n v="0"/>
    <n v="0"/>
    <n v="0"/>
    <n v="0"/>
    <n v="0"/>
    <n v="0"/>
    <n v="0"/>
    <n v="0"/>
    <n v="0"/>
    <n v="6303.4495247885898"/>
  </r>
  <r>
    <s v="Google DeveloperUSB1"/>
    <x v="0"/>
    <x v="0"/>
    <s v="kt_pradeepb"/>
    <x v="35"/>
    <s v="Employee"/>
    <s v="B1"/>
    <s v="B"/>
    <s v="US"/>
    <s v="Google Developer"/>
    <n v="15690.089854166519"/>
    <x v="1"/>
    <n v="1"/>
    <n v="0"/>
    <n v="0"/>
    <n v="0"/>
    <n v="0"/>
    <n v="0"/>
    <n v="0"/>
    <n v="0"/>
    <n v="0"/>
    <n v="0"/>
    <n v="0"/>
    <n v="31380.179708333038"/>
  </r>
  <r>
    <s v="Project ManagerIndiaD1"/>
    <x v="0"/>
    <x v="0"/>
    <n v="19030"/>
    <x v="36"/>
    <s v="Employee"/>
    <s v="D1"/>
    <s v="D"/>
    <s v="India"/>
    <s v="Project Manager"/>
    <n v="10852.347890782839"/>
    <x v="1"/>
    <n v="1"/>
    <n v="0"/>
    <n v="0"/>
    <n v="0"/>
    <n v="0"/>
    <n v="0"/>
    <n v="0"/>
    <n v="0"/>
    <n v="0"/>
    <n v="0"/>
    <n v="0"/>
    <n v="21704.695781565679"/>
  </r>
  <r>
    <s v="Project ManagerIndiaC1"/>
    <x v="0"/>
    <x v="0"/>
    <n v="19031"/>
    <x v="37"/>
    <s v="Employee"/>
    <s v="C1"/>
    <s v="C"/>
    <s v="India"/>
    <s v="Project Manager"/>
    <n v="5716.2812190976911"/>
    <x v="1"/>
    <n v="1"/>
    <n v="0"/>
    <n v="0"/>
    <n v="0"/>
    <n v="0"/>
    <n v="0"/>
    <n v="0"/>
    <n v="0"/>
    <n v="0"/>
    <n v="0"/>
    <n v="0"/>
    <n v="11432.562438195382"/>
  </r>
  <r>
    <s v="Google Delivery LeadIndiaD1"/>
    <x v="1"/>
    <x v="1"/>
    <n v="19032"/>
    <x v="38"/>
    <s v="Employee"/>
    <s v="D1"/>
    <s v="D"/>
    <s v="India"/>
    <s v="Google Delivery Lead"/>
    <n v="10852.347890782839"/>
    <x v="1"/>
    <n v="1"/>
    <n v="0"/>
    <n v="0"/>
    <n v="0"/>
    <n v="0"/>
    <n v="0"/>
    <n v="0"/>
    <n v="0"/>
    <n v="0"/>
    <n v="0"/>
    <n v="0"/>
    <n v="21704.695781565679"/>
  </r>
  <r>
    <s v="BI Dashboard LeadIndiaD1"/>
    <x v="1"/>
    <x v="1"/>
    <n v="19033"/>
    <x v="39"/>
    <s v="Employee"/>
    <s v="D1"/>
    <s v="D"/>
    <s v="India"/>
    <s v="BI Dashboard Lead"/>
    <n v="10852.347890782839"/>
    <x v="1"/>
    <n v="1"/>
    <n v="0"/>
    <n v="0"/>
    <n v="0"/>
    <n v="0"/>
    <n v="0"/>
    <n v="0"/>
    <n v="0"/>
    <n v="0"/>
    <n v="0"/>
    <n v="0"/>
    <n v="21704.695781565679"/>
  </r>
  <r>
    <s v="ETL DeveloperIndiaC1"/>
    <x v="0"/>
    <x v="0"/>
    <s v="re_nihals"/>
    <x v="40"/>
    <s v="Employee"/>
    <s v="C1"/>
    <s v="C"/>
    <s v="India"/>
    <s v="ETL Developer"/>
    <n v="5716.2812190976911"/>
    <x v="1"/>
    <n v="1"/>
    <n v="0"/>
    <n v="0"/>
    <n v="0"/>
    <n v="0"/>
    <n v="0"/>
    <n v="0"/>
    <n v="0"/>
    <n v="0"/>
    <n v="0"/>
    <n v="0"/>
    <n v="11432.562438195382"/>
  </r>
  <r>
    <s v="BI Dashboard UI DeveloperIndiaC1"/>
    <x v="0"/>
    <x v="0"/>
    <s v="re_pranjalg"/>
    <x v="41"/>
    <s v="Employee"/>
    <s v="C1"/>
    <s v="C"/>
    <s v="India"/>
    <s v="BI Dashboard UI Developer"/>
    <n v="5716.2812190976911"/>
    <x v="1"/>
    <n v="1"/>
    <n v="0"/>
    <n v="0"/>
    <n v="0"/>
    <n v="0"/>
    <n v="0"/>
    <n v="0"/>
    <n v="0"/>
    <n v="0"/>
    <n v="0"/>
    <n v="0"/>
    <n v="11432.562438195382"/>
  </r>
  <r>
    <s v="CX Design LeadUSD1"/>
    <x v="0"/>
    <x v="0"/>
    <s v="Natalia203158"/>
    <x v="42"/>
    <s v="Employee"/>
    <s v="D1"/>
    <s v="D"/>
    <s v="US"/>
    <s v="CX Design Lead"/>
    <n v="34733.886102105265"/>
    <x v="1"/>
    <n v="1"/>
    <n v="0"/>
    <n v="0"/>
    <n v="0"/>
    <n v="0"/>
    <n v="0"/>
    <n v="0"/>
    <n v="0"/>
    <n v="0"/>
    <n v="0"/>
    <n v="0"/>
    <n v="69467.772204210531"/>
  </r>
  <r>
    <s v="Overall Program LeadPHPE1"/>
    <x v="1"/>
    <x v="1"/>
    <s v="Mayur16520"/>
    <x v="43"/>
    <s v="Employee"/>
    <s v="E1"/>
    <s v="E"/>
    <s v="PHP"/>
    <s v="Overall Program Lead"/>
    <n v="21954.902829030791"/>
    <x v="1"/>
    <n v="1"/>
    <n v="0"/>
    <n v="0"/>
    <n v="0"/>
    <n v="0"/>
    <n v="0"/>
    <n v="0"/>
    <n v="0"/>
    <n v="0"/>
    <n v="0"/>
    <n v="0"/>
    <n v="43909.805658061581"/>
  </r>
  <r>
    <s v="Engagement LeadUSE1"/>
    <x v="1"/>
    <x v="1"/>
    <s v="Ankush134427"/>
    <x v="44"/>
    <s v="Employee"/>
    <s v="E1"/>
    <s v="E"/>
    <s v="US"/>
    <s v="Engagement Lead"/>
    <n v="38837.378958094479"/>
    <x v="1"/>
    <n v="1"/>
    <n v="0"/>
    <n v="0"/>
    <n v="0"/>
    <n v="0"/>
    <n v="0"/>
    <n v="0"/>
    <n v="0"/>
    <n v="0"/>
    <n v="0"/>
    <n v="0"/>
    <n v="77674.7579161889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7D35A6-ADD8-4BEF-B20F-D4DC24C6C127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H3:L52" firstHeaderRow="2" firstDataRow="2" firstDataCol="4"/>
  <pivotFields count="24">
    <pivotField compact="0" outline="0" showAll="0"/>
    <pivotField axis="axisRow" compact="0" outline="0" showAll="0" defaultSubtotal="0">
      <items count="2">
        <item x="0"/>
        <item x="1"/>
      </items>
    </pivotField>
    <pivotField axis="axisRow" compact="0" outline="0" showAll="0">
      <items count="3">
        <item x="0"/>
        <item x="1"/>
        <item t="default"/>
      </items>
    </pivotField>
    <pivotField compact="0" outline="0" showAll="0"/>
    <pivotField axis="axisRow" compact="0" outline="0" showAll="0" defaultSubtotal="0">
      <items count="45">
        <item x="20"/>
        <item x="0"/>
        <item x="15"/>
        <item x="32"/>
        <item x="21"/>
        <item x="1"/>
        <item x="2"/>
        <item x="44"/>
        <item x="8"/>
        <item x="25"/>
        <item x="31"/>
        <item x="39"/>
        <item x="37"/>
        <item x="34"/>
        <item x="14"/>
        <item x="3"/>
        <item x="4"/>
        <item x="28"/>
        <item x="43"/>
        <item x="36"/>
        <item x="42"/>
        <item x="40"/>
        <item x="22"/>
        <item x="16"/>
        <item x="17"/>
        <item x="5"/>
        <item x="35"/>
        <item x="6"/>
        <item x="41"/>
        <item x="26"/>
        <item x="30"/>
        <item x="9"/>
        <item x="38"/>
        <item x="10"/>
        <item x="27"/>
        <item x="11"/>
        <item x="12"/>
        <item x="33"/>
        <item x="29"/>
        <item x="13"/>
        <item x="23"/>
        <item x="19"/>
        <item x="7"/>
        <item x="18"/>
        <item x="24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3" outline="0" showAll="0"/>
    <pivotField axis="axisRow" compact="0" numFmtId="9" outline="0" showAll="0" defaultSubtotal="0">
      <items count="2">
        <item x="0"/>
        <item x="1"/>
      </items>
    </pivotField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dataField="1" compact="0" numFmtId="43" outline="0" showAll="0"/>
  </pivotFields>
  <rowFields count="4">
    <field x="1"/>
    <field x="2"/>
    <field x="4"/>
    <field x="11"/>
  </rowFields>
  <rowItems count="48">
    <i>
      <x/>
      <x/>
      <x/>
      <x v="1"/>
    </i>
    <i r="2">
      <x v="1"/>
      <x/>
    </i>
    <i r="2">
      <x v="2"/>
      <x v="1"/>
    </i>
    <i r="2">
      <x v="3"/>
      <x v="1"/>
    </i>
    <i r="2">
      <x v="4"/>
      <x v="1"/>
    </i>
    <i r="2">
      <x v="5"/>
      <x v="1"/>
    </i>
    <i r="2">
      <x v="6"/>
      <x v="1"/>
    </i>
    <i r="2">
      <x v="9"/>
      <x v="1"/>
    </i>
    <i r="2">
      <x v="10"/>
      <x v="1"/>
    </i>
    <i r="2">
      <x v="12"/>
      <x v="1"/>
    </i>
    <i r="2">
      <x v="19"/>
      <x v="1"/>
    </i>
    <i r="2">
      <x v="20"/>
      <x v="1"/>
    </i>
    <i r="2">
      <x v="21"/>
      <x v="1"/>
    </i>
    <i r="2">
      <x v="22"/>
      <x v="1"/>
    </i>
    <i r="2">
      <x v="23"/>
      <x v="1"/>
    </i>
    <i r="2">
      <x v="24"/>
      <x v="1"/>
    </i>
    <i r="2">
      <x v="25"/>
      <x v="1"/>
    </i>
    <i r="2">
      <x v="26"/>
      <x v="1"/>
    </i>
    <i r="2">
      <x v="27"/>
      <x v="1"/>
    </i>
    <i r="2">
      <x v="28"/>
      <x v="1"/>
    </i>
    <i r="2">
      <x v="29"/>
      <x v="1"/>
    </i>
    <i r="2">
      <x v="30"/>
      <x v="1"/>
    </i>
    <i r="2">
      <x v="33"/>
      <x v="1"/>
    </i>
    <i r="2">
      <x v="34"/>
      <x v="1"/>
    </i>
    <i r="2">
      <x v="35"/>
      <x v="1"/>
    </i>
    <i r="2">
      <x v="36"/>
      <x v="1"/>
    </i>
    <i r="2">
      <x v="42"/>
      <x v="1"/>
    </i>
    <i t="default" r="1">
      <x/>
    </i>
    <i>
      <x v="1"/>
      <x v="1"/>
      <x v="7"/>
      <x v="1"/>
    </i>
    <i r="2">
      <x v="8"/>
      <x v="1"/>
    </i>
    <i r="2">
      <x v="11"/>
      <x v="1"/>
    </i>
    <i r="2">
      <x v="13"/>
      <x v="1"/>
    </i>
    <i r="2">
      <x v="14"/>
      <x v="1"/>
    </i>
    <i r="2">
      <x v="15"/>
      <x v="1"/>
    </i>
    <i r="2">
      <x v="16"/>
      <x v="1"/>
    </i>
    <i r="2">
      <x v="17"/>
      <x v="1"/>
    </i>
    <i r="2">
      <x v="18"/>
      <x v="1"/>
    </i>
    <i r="2">
      <x v="31"/>
      <x v="1"/>
    </i>
    <i r="2">
      <x v="32"/>
      <x v="1"/>
    </i>
    <i r="2">
      <x v="37"/>
      <x v="1"/>
    </i>
    <i r="2">
      <x v="38"/>
      <x v="1"/>
    </i>
    <i r="2">
      <x v="39"/>
      <x v="1"/>
    </i>
    <i r="2">
      <x v="40"/>
      <x v="1"/>
    </i>
    <i r="2">
      <x v="41"/>
      <x v="1"/>
    </i>
    <i r="2">
      <x v="43"/>
      <x v="1"/>
    </i>
    <i r="2">
      <x v="44"/>
      <x v="1"/>
    </i>
    <i t="default" r="1">
      <x v="1"/>
    </i>
    <i t="grand">
      <x/>
    </i>
  </rowItems>
  <colItems count="1">
    <i/>
  </colItems>
  <dataFields count="1">
    <dataField name="Sum of Total Cost" fld="23" baseField="0" baseItem="0" numFmtId="43"/>
  </dataFields>
  <formats count="76">
    <format dxfId="75">
      <pivotArea type="all" dataOnly="0" outline="0" fieldPosition="0"/>
    </format>
    <format dxfId="74">
      <pivotArea outline="0" collapsedLevelsAreSubtotals="1" fieldPosition="0"/>
    </format>
    <format dxfId="73">
      <pivotArea type="origin" dataOnly="0" labelOnly="1" outline="0" fieldPosition="0"/>
    </format>
    <format dxfId="72">
      <pivotArea field="-2" type="button" dataOnly="0" labelOnly="1" outline="0" axis="axisValues" fieldPosition="0"/>
    </format>
    <format dxfId="71">
      <pivotArea type="topRight" dataOnly="0" labelOnly="1" outline="0" fieldPosition="0"/>
    </format>
    <format dxfId="70">
      <pivotArea field="1" type="button" dataOnly="0" labelOnly="1" outline="0" axis="axisRow" fieldPosition="0"/>
    </format>
    <format dxfId="69">
      <pivotArea field="11" type="button" dataOnly="0" labelOnly="1" outline="0" axis="axisRow" fieldPosition="3"/>
    </format>
    <format dxfId="68">
      <pivotArea field="2" type="button" dataOnly="0" labelOnly="1" outline="0" axis="axisRow" fieldPosition="1"/>
    </format>
    <format dxfId="67">
      <pivotArea dataOnly="0" labelOnly="1" outline="0" fieldPosition="0">
        <references count="1">
          <reference field="1" count="0"/>
        </references>
      </pivotArea>
    </format>
    <format dxfId="66">
      <pivotArea dataOnly="0" labelOnly="1" grandRow="1" outline="0" fieldPosition="0"/>
    </format>
    <format dxfId="65">
      <pivotArea dataOnly="0" labelOnly="1" outline="0" fieldPosition="0">
        <references count="2">
          <reference field="1" count="1" selected="0">
            <x v="0"/>
          </reference>
          <reference field="11" count="0"/>
        </references>
      </pivotArea>
    </format>
    <format dxfId="64">
      <pivotArea dataOnly="0" labelOnly="1" outline="0" fieldPosition="0">
        <references count="3">
          <reference field="1" count="1" selected="0">
            <x v="0"/>
          </reference>
          <reference field="2" count="1">
            <x v="0"/>
          </reference>
          <reference field="11" count="1" selected="0">
            <x v="0"/>
          </reference>
        </references>
      </pivotArea>
    </format>
    <format dxfId="63">
      <pivotArea dataOnly="0" labelOnly="1" outline="0" fieldPosition="0">
        <references count="3">
          <reference field="1" count="1" selected="0">
            <x v="0"/>
          </reference>
          <reference field="2" count="1">
            <x v="0"/>
          </reference>
          <reference field="11" count="1" selected="0">
            <x v="1"/>
          </reference>
        </references>
      </pivotArea>
    </format>
    <format dxfId="62">
      <pivotArea dataOnly="0" labelOnly="1" outline="0" fieldPosition="0">
        <references count="3">
          <reference field="1" count="1" selected="0">
            <x v="1"/>
          </reference>
          <reference field="2" count="1">
            <x v="1"/>
          </reference>
          <reference field="11" count="1" selected="0">
            <x v="1"/>
          </reference>
        </references>
      </pivotArea>
    </format>
    <format dxfId="6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type="origin" dataOnly="0" labelOnly="1" outline="0" fieldPosition="0"/>
    </format>
    <format dxfId="57">
      <pivotArea field="1" type="button" dataOnly="0" labelOnly="1" outline="0" axis="axisRow" fieldPosition="0"/>
    </format>
    <format dxfId="56">
      <pivotArea field="2" type="button" dataOnly="0" labelOnly="1" outline="0" axis="axisRow" fieldPosition="1"/>
    </format>
    <format dxfId="55">
      <pivotArea field="4" type="button" dataOnly="0" labelOnly="1" outline="0" axis="axisRow" fieldPosition="2"/>
    </format>
    <format dxfId="54">
      <pivotArea field="11" type="button" dataOnly="0" labelOnly="1" outline="0" axis="axisRow" fieldPosition="3"/>
    </format>
    <format dxfId="53">
      <pivotArea dataOnly="0" labelOnly="1" outline="0" fieldPosition="0">
        <references count="1">
          <reference field="1" count="0"/>
        </references>
      </pivotArea>
    </format>
    <format dxfId="52">
      <pivotArea dataOnly="0" labelOnly="1" grandRow="1" outline="0" fieldPosition="0"/>
    </format>
    <format dxfId="51">
      <pivotArea dataOnly="0" labelOnly="1" outline="0" fieldPosition="0">
        <references count="2">
          <reference field="1" count="1" selected="0">
            <x v="0"/>
          </reference>
          <reference field="2" count="1">
            <x v="0"/>
          </reference>
        </references>
      </pivotArea>
    </format>
    <format dxfId="50">
      <pivotArea dataOnly="0" labelOnly="1" outline="0" fieldPosition="0">
        <references count="2">
          <reference field="1" count="1" selected="0">
            <x v="0"/>
          </reference>
          <reference field="2" count="1" defaultSubtotal="1">
            <x v="0"/>
          </reference>
        </references>
      </pivotArea>
    </format>
    <format dxfId="49">
      <pivotArea dataOnly="0" labelOnly="1" outline="0" fieldPosition="0">
        <references count="2">
          <reference field="1" count="1" selected="0">
            <x v="1"/>
          </reference>
          <reference field="2" count="1">
            <x v="1"/>
          </reference>
        </references>
      </pivotArea>
    </format>
    <format dxfId="48">
      <pivotArea dataOnly="0" labelOnly="1" outline="0" fieldPosition="0">
        <references count="2">
          <reference field="1" count="1" selected="0">
            <x v="1"/>
          </reference>
          <reference field="2" count="1" defaultSubtotal="1">
            <x v="1"/>
          </reference>
        </references>
      </pivotArea>
    </format>
    <format dxfId="4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0"/>
          </reference>
          <reference field="4" count="27">
            <x v="0"/>
            <x v="1"/>
            <x v="2"/>
            <x v="3"/>
            <x v="4"/>
            <x v="5"/>
            <x v="6"/>
            <x v="9"/>
            <x v="10"/>
            <x v="12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3"/>
            <x v="34"/>
            <x v="35"/>
            <x v="36"/>
            <x v="42"/>
          </reference>
        </references>
      </pivotArea>
    </format>
    <format dxfId="4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"/>
          </reference>
          <reference field="4" count="18">
            <x v="7"/>
            <x v="8"/>
            <x v="11"/>
            <x v="13"/>
            <x v="14"/>
            <x v="15"/>
            <x v="16"/>
            <x v="17"/>
            <x v="18"/>
            <x v="31"/>
            <x v="32"/>
            <x v="37"/>
            <x v="38"/>
            <x v="39"/>
            <x v="40"/>
            <x v="41"/>
            <x v="43"/>
            <x v="44"/>
          </reference>
        </references>
      </pivotArea>
    </format>
    <format dxfId="4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0"/>
          </reference>
          <reference field="4" count="1" selected="0">
            <x v="0"/>
          </reference>
          <reference field="11" count="1">
            <x v="1"/>
          </reference>
        </references>
      </pivotArea>
    </format>
    <format dxfId="4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0"/>
          </reference>
          <reference field="4" count="1" selected="0">
            <x v="1"/>
          </reference>
          <reference field="11" count="1">
            <x v="0"/>
          </reference>
        </references>
      </pivotArea>
    </format>
    <format dxfId="4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0"/>
          </reference>
          <reference field="4" count="1" selected="0">
            <x v="2"/>
          </reference>
          <reference field="11" count="1">
            <x v="1"/>
          </reference>
        </references>
      </pivotArea>
    </format>
    <format dxfId="4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0"/>
          </reference>
          <reference field="4" count="1" selected="0">
            <x v="3"/>
          </reference>
          <reference field="11" count="1">
            <x v="1"/>
          </reference>
        </references>
      </pivotArea>
    </format>
    <format dxfId="4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0"/>
          </reference>
          <reference field="4" count="1" selected="0">
            <x v="4"/>
          </reference>
          <reference field="11" count="1">
            <x v="1"/>
          </reference>
        </references>
      </pivotArea>
    </format>
    <format dxfId="4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0"/>
          </reference>
          <reference field="4" count="1" selected="0">
            <x v="5"/>
          </reference>
          <reference field="11" count="1">
            <x v="1"/>
          </reference>
        </references>
      </pivotArea>
    </format>
    <format dxfId="3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0"/>
          </reference>
          <reference field="4" count="1" selected="0">
            <x v="6"/>
          </reference>
          <reference field="11" count="1">
            <x v="1"/>
          </reference>
        </references>
      </pivotArea>
    </format>
    <format dxfId="3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0"/>
          </reference>
          <reference field="4" count="1" selected="0">
            <x v="9"/>
          </reference>
          <reference field="11" count="1">
            <x v="1"/>
          </reference>
        </references>
      </pivotArea>
    </format>
    <format dxfId="3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0"/>
          </reference>
          <reference field="4" count="1" selected="0">
            <x v="10"/>
          </reference>
          <reference field="11" count="1">
            <x v="1"/>
          </reference>
        </references>
      </pivotArea>
    </format>
    <format dxfId="3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0"/>
          </reference>
          <reference field="4" count="1" selected="0">
            <x v="12"/>
          </reference>
          <reference field="11" count="1">
            <x v="1"/>
          </reference>
        </references>
      </pivotArea>
    </format>
    <format dxfId="3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0"/>
          </reference>
          <reference field="4" count="1" selected="0">
            <x v="19"/>
          </reference>
          <reference field="11" count="1">
            <x v="1"/>
          </reference>
        </references>
      </pivotArea>
    </format>
    <format dxfId="3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0"/>
          </reference>
          <reference field="4" count="1" selected="0">
            <x v="20"/>
          </reference>
          <reference field="11" count="1">
            <x v="1"/>
          </reference>
        </references>
      </pivotArea>
    </format>
    <format dxfId="3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0"/>
          </reference>
          <reference field="4" count="1" selected="0">
            <x v="21"/>
          </reference>
          <reference field="11" count="1">
            <x v="1"/>
          </reference>
        </references>
      </pivotArea>
    </format>
    <format dxfId="3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0"/>
          </reference>
          <reference field="4" count="1" selected="0">
            <x v="22"/>
          </reference>
          <reference field="11" count="1">
            <x v="1"/>
          </reference>
        </references>
      </pivotArea>
    </format>
    <format dxfId="3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0"/>
          </reference>
          <reference field="4" count="1" selected="0">
            <x v="23"/>
          </reference>
          <reference field="11" count="1">
            <x v="1"/>
          </reference>
        </references>
      </pivotArea>
    </format>
    <format dxfId="3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0"/>
          </reference>
          <reference field="4" count="1" selected="0">
            <x v="24"/>
          </reference>
          <reference field="11" count="1">
            <x v="1"/>
          </reference>
        </references>
      </pivotArea>
    </format>
    <format dxfId="2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0"/>
          </reference>
          <reference field="4" count="1" selected="0">
            <x v="25"/>
          </reference>
          <reference field="11" count="1">
            <x v="1"/>
          </reference>
        </references>
      </pivotArea>
    </format>
    <format dxfId="2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0"/>
          </reference>
          <reference field="4" count="1" selected="0">
            <x v="26"/>
          </reference>
          <reference field="11" count="1">
            <x v="1"/>
          </reference>
        </references>
      </pivotArea>
    </format>
    <format dxfId="2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0"/>
          </reference>
          <reference field="4" count="1" selected="0">
            <x v="27"/>
          </reference>
          <reference field="11" count="1">
            <x v="1"/>
          </reference>
        </references>
      </pivotArea>
    </format>
    <format dxfId="2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0"/>
          </reference>
          <reference field="4" count="1" selected="0">
            <x v="28"/>
          </reference>
          <reference field="11" count="1">
            <x v="1"/>
          </reference>
        </references>
      </pivotArea>
    </format>
    <format dxfId="25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0"/>
          </reference>
          <reference field="4" count="1" selected="0">
            <x v="29"/>
          </reference>
          <reference field="11" count="1">
            <x v="1"/>
          </reference>
        </references>
      </pivotArea>
    </format>
    <format dxfId="24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0"/>
          </reference>
          <reference field="4" count="1" selected="0">
            <x v="30"/>
          </reference>
          <reference field="11" count="1">
            <x v="1"/>
          </reference>
        </references>
      </pivotArea>
    </format>
    <format dxfId="2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0"/>
          </reference>
          <reference field="4" count="1" selected="0">
            <x v="33"/>
          </reference>
          <reference field="11" count="1">
            <x v="1"/>
          </reference>
        </references>
      </pivotArea>
    </format>
    <format dxfId="2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0"/>
          </reference>
          <reference field="4" count="1" selected="0">
            <x v="34"/>
          </reference>
          <reference field="11" count="1">
            <x v="1"/>
          </reference>
        </references>
      </pivotArea>
    </format>
    <format dxfId="2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0"/>
          </reference>
          <reference field="4" count="1" selected="0">
            <x v="35"/>
          </reference>
          <reference field="11" count="1">
            <x v="1"/>
          </reference>
        </references>
      </pivotArea>
    </format>
    <format dxfId="2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0"/>
          </reference>
          <reference field="4" count="1" selected="0">
            <x v="36"/>
          </reference>
          <reference field="11" count="1">
            <x v="1"/>
          </reference>
        </references>
      </pivotArea>
    </format>
    <format dxfId="1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0"/>
          </reference>
          <reference field="4" count="1" selected="0">
            <x v="42"/>
          </reference>
          <reference field="11" count="1">
            <x v="1"/>
          </reference>
        </references>
      </pivotArea>
    </format>
    <format dxfId="1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4" count="1" selected="0">
            <x v="7"/>
          </reference>
          <reference field="11" count="1">
            <x v="1"/>
          </reference>
        </references>
      </pivotArea>
    </format>
    <format dxfId="1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4" count="1" selected="0">
            <x v="8"/>
          </reference>
          <reference field="11" count="1">
            <x v="1"/>
          </reference>
        </references>
      </pivotArea>
    </format>
    <format dxfId="1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4" count="1" selected="0">
            <x v="11"/>
          </reference>
          <reference field="11" count="1">
            <x v="1"/>
          </reference>
        </references>
      </pivotArea>
    </format>
    <format dxfId="1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4" count="1" selected="0">
            <x v="13"/>
          </reference>
          <reference field="11" count="1">
            <x v="1"/>
          </reference>
        </references>
      </pivotArea>
    </format>
    <format dxfId="1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4" count="1" selected="0">
            <x v="14"/>
          </reference>
          <reference field="11" count="1">
            <x v="1"/>
          </reference>
        </references>
      </pivotArea>
    </format>
    <format dxfId="1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4" count="1" selected="0">
            <x v="15"/>
          </reference>
          <reference field="11" count="1">
            <x v="1"/>
          </reference>
        </references>
      </pivotArea>
    </format>
    <format dxfId="1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4" count="1" selected="0">
            <x v="16"/>
          </reference>
          <reference field="11" count="1">
            <x v="1"/>
          </reference>
        </references>
      </pivotArea>
    </format>
    <format dxfId="1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4" count="1" selected="0">
            <x v="17"/>
          </reference>
          <reference field="11" count="1">
            <x v="1"/>
          </reference>
        </references>
      </pivotArea>
    </format>
    <format dxfId="10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4" count="1" selected="0">
            <x v="18"/>
          </reference>
          <reference field="11" count="1">
            <x v="1"/>
          </reference>
        </references>
      </pivotArea>
    </format>
    <format dxfId="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4" count="1" selected="0">
            <x v="31"/>
          </reference>
          <reference field="11" count="1">
            <x v="1"/>
          </reference>
        </references>
      </pivotArea>
    </format>
    <format dxfId="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4" count="1" selected="0">
            <x v="32"/>
          </reference>
          <reference field="11" count="1">
            <x v="1"/>
          </reference>
        </references>
      </pivotArea>
    </format>
    <format dxfId="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4" count="1" selected="0">
            <x v="37"/>
          </reference>
          <reference field="11" count="1">
            <x v="1"/>
          </reference>
        </references>
      </pivotArea>
    </format>
    <format dxfId="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4" count="1" selected="0">
            <x v="38"/>
          </reference>
          <reference field="11" count="1">
            <x v="1"/>
          </reference>
        </references>
      </pivotArea>
    </format>
    <format dxfId="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4" count="1" selected="0">
            <x v="39"/>
          </reference>
          <reference field="11" count="1">
            <x v="1"/>
          </reference>
        </references>
      </pivotArea>
    </format>
    <format dxfId="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4" count="1" selected="0">
            <x v="40"/>
          </reference>
          <reference field="11" count="1">
            <x v="1"/>
          </reference>
        </references>
      </pivotArea>
    </format>
    <format dxfId="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4" count="1" selected="0">
            <x v="41"/>
          </reference>
          <reference field="11" count="1">
            <x v="1"/>
          </reference>
        </references>
      </pivotArea>
    </format>
    <format dxfId="2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4" count="1" selected="0">
            <x v="43"/>
          </reference>
          <reference field="11" count="1">
            <x v="1"/>
          </reference>
        </references>
      </pivotArea>
    </format>
    <format dxfId="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4" count="1" selected="0">
            <x v="44"/>
          </reference>
          <reference field="11" count="1">
            <x v="1"/>
          </reference>
        </references>
      </pivotArea>
    </format>
    <format dxfId="0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38951B-B15C-4981-81B8-F475CBED330B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8" firstHeaderRow="1" firstDataRow="2" firstDataCol="3"/>
  <pivotFields count="24">
    <pivotField compact="0" outline="0" showAll="0"/>
    <pivotField axis="axisRow" compact="0" outline="0" showAll="0" defaultSubtotal="0">
      <items count="2">
        <item x="0"/>
        <item x="1"/>
      </items>
    </pivotField>
    <pivotField axis="axisRow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3" outline="0" showAll="0"/>
    <pivotField axis="axisRow" compact="0" numFmtId="9" outline="0" showAll="0" defaultSubtotal="0">
      <items count="2">
        <item x="0"/>
        <item x="1"/>
      </items>
    </pivotField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dataField="1" compact="0" numFmtId="43" outline="0" showAll="0"/>
  </pivotFields>
  <rowFields count="3">
    <field x="1"/>
    <field x="11"/>
    <field x="2"/>
  </rowFields>
  <rowItems count="4">
    <i>
      <x/>
      <x/>
      <x/>
    </i>
    <i r="1">
      <x v="1"/>
      <x/>
    </i>
    <i>
      <x v="1"/>
      <x v="1"/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 ID" fld="3" subtotal="count" baseField="0" baseItem="0"/>
    <dataField name="Sum of Total Cost" fld="23" baseField="0" baseItem="0" numFmtId="43"/>
  </dataFields>
  <formats count="30">
    <format dxfId="105">
      <pivotArea type="all" dataOnly="0" outline="0" fieldPosition="0"/>
    </format>
    <format dxfId="104">
      <pivotArea outline="0" collapsedLevelsAreSubtotals="1" fieldPosition="0"/>
    </format>
    <format dxfId="103">
      <pivotArea type="origin" dataOnly="0" labelOnly="1" outline="0" fieldPosition="0"/>
    </format>
    <format dxfId="102">
      <pivotArea field="-2" type="button" dataOnly="0" labelOnly="1" outline="0" axis="axisCol" fieldPosition="0"/>
    </format>
    <format dxfId="101">
      <pivotArea type="topRight" dataOnly="0" labelOnly="1" outline="0" fieldPosition="0"/>
    </format>
    <format dxfId="100">
      <pivotArea field="1" type="button" dataOnly="0" labelOnly="1" outline="0" axis="axisRow" fieldPosition="0"/>
    </format>
    <format dxfId="99">
      <pivotArea field="11" type="button" dataOnly="0" labelOnly="1" outline="0" axis="axisRow" fieldPosition="1"/>
    </format>
    <format dxfId="98">
      <pivotArea field="2" type="button" dataOnly="0" labelOnly="1" outline="0" axis="axisRow" fieldPosition="2"/>
    </format>
    <format dxfId="97">
      <pivotArea dataOnly="0" labelOnly="1" outline="0" fieldPosition="0">
        <references count="1">
          <reference field="1" count="0"/>
        </references>
      </pivotArea>
    </format>
    <format dxfId="96">
      <pivotArea dataOnly="0" labelOnly="1" grandRow="1" outline="0" fieldPosition="0"/>
    </format>
    <format dxfId="95">
      <pivotArea dataOnly="0" labelOnly="1" outline="0" fieldPosition="0">
        <references count="2">
          <reference field="1" count="1" selected="0">
            <x v="0"/>
          </reference>
          <reference field="11" count="0"/>
        </references>
      </pivotArea>
    </format>
    <format dxfId="94">
      <pivotArea dataOnly="0" labelOnly="1" outline="0" fieldPosition="0">
        <references count="3">
          <reference field="1" count="1" selected="0">
            <x v="0"/>
          </reference>
          <reference field="2" count="1">
            <x v="0"/>
          </reference>
          <reference field="11" count="1" selected="0">
            <x v="0"/>
          </reference>
        </references>
      </pivotArea>
    </format>
    <format dxfId="93">
      <pivotArea dataOnly="0" labelOnly="1" outline="0" fieldPosition="0">
        <references count="3">
          <reference field="1" count="1" selected="0">
            <x v="0"/>
          </reference>
          <reference field="2" count="1">
            <x v="0"/>
          </reference>
          <reference field="11" count="1" selected="0">
            <x v="1"/>
          </reference>
        </references>
      </pivotArea>
    </format>
    <format dxfId="92">
      <pivotArea dataOnly="0" labelOnly="1" outline="0" fieldPosition="0">
        <references count="3">
          <reference field="1" count="1" selected="0">
            <x v="1"/>
          </reference>
          <reference field="2" count="1">
            <x v="1"/>
          </reference>
          <reference field="11" count="1" selected="0">
            <x v="1"/>
          </reference>
        </references>
      </pivotArea>
    </format>
    <format dxfId="9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type="origin" dataOnly="0" labelOnly="1" outline="0" fieldPosition="0"/>
    </format>
    <format dxfId="87">
      <pivotArea field="-2" type="button" dataOnly="0" labelOnly="1" outline="0" axis="axisCol" fieldPosition="0"/>
    </format>
    <format dxfId="86">
      <pivotArea type="topRight" dataOnly="0" labelOnly="1" outline="0" fieldPosition="0"/>
    </format>
    <format dxfId="85">
      <pivotArea field="1" type="button" dataOnly="0" labelOnly="1" outline="0" axis="axisRow" fieldPosition="0"/>
    </format>
    <format dxfId="84">
      <pivotArea field="11" type="button" dataOnly="0" labelOnly="1" outline="0" axis="axisRow" fieldPosition="1"/>
    </format>
    <format dxfId="83">
      <pivotArea field="2" type="button" dataOnly="0" labelOnly="1" outline="0" axis="axisRow" fieldPosition="2"/>
    </format>
    <format dxfId="82">
      <pivotArea dataOnly="0" labelOnly="1" outline="0" fieldPosition="0">
        <references count="1">
          <reference field="1" count="0"/>
        </references>
      </pivotArea>
    </format>
    <format dxfId="81">
      <pivotArea dataOnly="0" labelOnly="1" grandRow="1" outline="0" fieldPosition="0"/>
    </format>
    <format dxfId="80">
      <pivotArea dataOnly="0" labelOnly="1" outline="0" fieldPosition="0">
        <references count="2">
          <reference field="1" count="1" selected="0">
            <x v="0"/>
          </reference>
          <reference field="11" count="0"/>
        </references>
      </pivotArea>
    </format>
    <format dxfId="79">
      <pivotArea dataOnly="0" labelOnly="1" outline="0" fieldPosition="0">
        <references count="3">
          <reference field="1" count="1" selected="0">
            <x v="0"/>
          </reference>
          <reference field="2" count="1">
            <x v="0"/>
          </reference>
          <reference field="11" count="1" selected="0">
            <x v="0"/>
          </reference>
        </references>
      </pivotArea>
    </format>
    <format dxfId="78">
      <pivotArea dataOnly="0" labelOnly="1" outline="0" fieldPosition="0">
        <references count="3">
          <reference field="1" count="1" selected="0">
            <x v="0"/>
          </reference>
          <reference field="2" count="1">
            <x v="0"/>
          </reference>
          <reference field="11" count="1" selected="0">
            <x v="1"/>
          </reference>
        </references>
      </pivotArea>
    </format>
    <format dxfId="77">
      <pivotArea dataOnly="0" labelOnly="1" outline="0" fieldPosition="0">
        <references count="3">
          <reference field="1" count="1" selected="0">
            <x v="1"/>
          </reference>
          <reference field="2" count="1">
            <x v="1"/>
          </reference>
          <reference field="11" count="1" selected="0">
            <x v="1"/>
          </reference>
        </references>
      </pivotArea>
    </format>
    <format dxfId="7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AE0A9-F81D-49B6-AF31-55B5046900BF}">
  <dimension ref="A1:C9"/>
  <sheetViews>
    <sheetView workbookViewId="0">
      <selection activeCell="A10" sqref="A10"/>
    </sheetView>
  </sheetViews>
  <sheetFormatPr defaultRowHeight="14.5" x14ac:dyDescent="0.35"/>
  <sheetData>
    <row r="1" spans="1:3" x14ac:dyDescent="0.35">
      <c r="A1" t="s">
        <v>120</v>
      </c>
    </row>
    <row r="3" spans="1:3" x14ac:dyDescent="0.35">
      <c r="A3" t="s">
        <v>121</v>
      </c>
      <c r="B3" s="6" t="s">
        <v>122</v>
      </c>
      <c r="C3" t="s">
        <v>123</v>
      </c>
    </row>
    <row r="4" spans="1:3" x14ac:dyDescent="0.35">
      <c r="A4" t="s">
        <v>124</v>
      </c>
      <c r="B4" s="6" t="s">
        <v>125</v>
      </c>
      <c r="C4" t="s">
        <v>126</v>
      </c>
    </row>
    <row r="5" spans="1:3" x14ac:dyDescent="0.35">
      <c r="A5" t="s">
        <v>127</v>
      </c>
      <c r="B5" t="s">
        <v>128</v>
      </c>
    </row>
    <row r="6" spans="1:3" x14ac:dyDescent="0.35">
      <c r="A6" t="s">
        <v>129</v>
      </c>
      <c r="B6" t="s">
        <v>130</v>
      </c>
    </row>
    <row r="7" spans="1:3" x14ac:dyDescent="0.35">
      <c r="A7" t="s">
        <v>131</v>
      </c>
      <c r="B7" t="s">
        <v>132</v>
      </c>
    </row>
    <row r="9" spans="1:3" x14ac:dyDescent="0.35">
      <c r="A9" t="s">
        <v>133</v>
      </c>
      <c r="B9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4E84E-B049-4A7C-86DD-CEDBA3E76DBB}">
  <dimension ref="A1:E26"/>
  <sheetViews>
    <sheetView workbookViewId="0">
      <pane ySplit="1" topLeftCell="A2" activePane="bottomLeft" state="frozen"/>
      <selection activeCell="K2" sqref="K2"/>
      <selection pane="bottomLeft" activeCell="K2" sqref="K2"/>
    </sheetView>
  </sheetViews>
  <sheetFormatPr defaultRowHeight="14.5" x14ac:dyDescent="0.35"/>
  <sheetData>
    <row r="1" spans="1:5" x14ac:dyDescent="0.35">
      <c r="A1" t="s">
        <v>160</v>
      </c>
      <c r="C1" t="s">
        <v>159</v>
      </c>
      <c r="E1" t="s">
        <v>158</v>
      </c>
    </row>
    <row r="2" spans="1:5" x14ac:dyDescent="0.35">
      <c r="A2" t="s">
        <v>163</v>
      </c>
      <c r="C2" t="s">
        <v>161</v>
      </c>
      <c r="E2" t="s">
        <v>145</v>
      </c>
    </row>
    <row r="3" spans="1:5" x14ac:dyDescent="0.35">
      <c r="A3" t="s">
        <v>164</v>
      </c>
      <c r="C3" t="s">
        <v>162</v>
      </c>
      <c r="E3" t="s">
        <v>146</v>
      </c>
    </row>
    <row r="4" spans="1:5" x14ac:dyDescent="0.35">
      <c r="A4" t="s">
        <v>165</v>
      </c>
      <c r="E4" t="s">
        <v>147</v>
      </c>
    </row>
    <row r="5" spans="1:5" x14ac:dyDescent="0.35">
      <c r="A5" t="s">
        <v>166</v>
      </c>
      <c r="E5" t="s">
        <v>187</v>
      </c>
    </row>
    <row r="6" spans="1:5" x14ac:dyDescent="0.35">
      <c r="A6" t="s">
        <v>167</v>
      </c>
    </row>
    <row r="7" spans="1:5" x14ac:dyDescent="0.35">
      <c r="A7" t="s">
        <v>168</v>
      </c>
    </row>
    <row r="8" spans="1:5" x14ac:dyDescent="0.35">
      <c r="A8" t="s">
        <v>169</v>
      </c>
    </row>
    <row r="9" spans="1:5" x14ac:dyDescent="0.35">
      <c r="A9" t="s">
        <v>170</v>
      </c>
    </row>
    <row r="10" spans="1:5" x14ac:dyDescent="0.35">
      <c r="A10" t="s">
        <v>146</v>
      </c>
    </row>
    <row r="11" spans="1:5" x14ac:dyDescent="0.35">
      <c r="A11" t="s">
        <v>171</v>
      </c>
    </row>
    <row r="12" spans="1:5" x14ac:dyDescent="0.35">
      <c r="A12" t="s">
        <v>172</v>
      </c>
    </row>
    <row r="13" spans="1:5" x14ac:dyDescent="0.35">
      <c r="A13" t="s">
        <v>173</v>
      </c>
    </row>
    <row r="14" spans="1:5" x14ac:dyDescent="0.35">
      <c r="A14" t="s">
        <v>174</v>
      </c>
    </row>
    <row r="15" spans="1:5" x14ac:dyDescent="0.35">
      <c r="A15" t="s">
        <v>175</v>
      </c>
    </row>
    <row r="16" spans="1:5" x14ac:dyDescent="0.35">
      <c r="A16" t="s">
        <v>176</v>
      </c>
    </row>
    <row r="17" spans="1:1" x14ac:dyDescent="0.35">
      <c r="A17" t="s">
        <v>177</v>
      </c>
    </row>
    <row r="18" spans="1:1" x14ac:dyDescent="0.35">
      <c r="A18" t="s">
        <v>178</v>
      </c>
    </row>
    <row r="19" spans="1:1" x14ac:dyDescent="0.35">
      <c r="A19" t="s">
        <v>179</v>
      </c>
    </row>
    <row r="20" spans="1:1" x14ac:dyDescent="0.35">
      <c r="A20" t="s">
        <v>180</v>
      </c>
    </row>
    <row r="21" spans="1:1" x14ac:dyDescent="0.35">
      <c r="A21" t="s">
        <v>181</v>
      </c>
    </row>
    <row r="22" spans="1:1" x14ac:dyDescent="0.35">
      <c r="A22" t="s">
        <v>182</v>
      </c>
    </row>
    <row r="23" spans="1:1" x14ac:dyDescent="0.35">
      <c r="A23" t="s">
        <v>183</v>
      </c>
    </row>
    <row r="24" spans="1:1" x14ac:dyDescent="0.35">
      <c r="A24" t="s">
        <v>184</v>
      </c>
    </row>
    <row r="25" spans="1:1" x14ac:dyDescent="0.35">
      <c r="A25" t="s">
        <v>185</v>
      </c>
    </row>
    <row r="26" spans="1:1" x14ac:dyDescent="0.35">
      <c r="A26" t="s">
        <v>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4CBB-07E1-4EFD-8FDD-BE538C40887D}">
  <sheetPr>
    <tabColor rgb="FF92D050"/>
  </sheetPr>
  <dimension ref="A1:K6"/>
  <sheetViews>
    <sheetView zoomScale="90" zoomScaleNormal="90" workbookViewId="0">
      <pane ySplit="1" topLeftCell="A2" activePane="bottomLeft" state="frozen"/>
      <selection activeCell="K2" sqref="K2"/>
      <selection pane="bottomLeft" activeCell="K2" sqref="K2"/>
    </sheetView>
  </sheetViews>
  <sheetFormatPr defaultRowHeight="13" x14ac:dyDescent="0.3"/>
  <cols>
    <col min="1" max="1" width="17.54296875" style="1" bestFit="1" customWidth="1"/>
    <col min="2" max="2" width="12.81640625" style="1" bestFit="1" customWidth="1"/>
    <col min="3" max="3" width="13.54296875" style="1" bestFit="1" customWidth="1"/>
    <col min="4" max="4" width="13.54296875" style="1" customWidth="1"/>
    <col min="5" max="5" width="16.90625" style="1" customWidth="1"/>
    <col min="6" max="6" width="13.36328125" style="1" bestFit="1" customWidth="1"/>
    <col min="7" max="7" width="7.90625" style="1" bestFit="1" customWidth="1"/>
    <col min="8" max="8" width="11" style="1" hidden="1" customWidth="1"/>
    <col min="9" max="9" width="8.6328125" style="1" bestFit="1" customWidth="1"/>
    <col min="10" max="11" width="9.453125" style="1" bestFit="1" customWidth="1"/>
    <col min="12" max="16384" width="8.7265625" style="1"/>
  </cols>
  <sheetData>
    <row r="1" spans="1:11" x14ac:dyDescent="0.3">
      <c r="A1" s="3" t="s">
        <v>0</v>
      </c>
      <c r="B1" s="3" t="s">
        <v>135</v>
      </c>
      <c r="C1" s="3" t="s">
        <v>136</v>
      </c>
      <c r="D1" s="3" t="s">
        <v>159</v>
      </c>
      <c r="E1" s="3" t="s">
        <v>158</v>
      </c>
      <c r="F1" s="3" t="s">
        <v>144</v>
      </c>
      <c r="G1" s="3" t="s">
        <v>137</v>
      </c>
      <c r="H1" s="3" t="s">
        <v>138</v>
      </c>
      <c r="I1" s="3" t="s">
        <v>139</v>
      </c>
      <c r="J1" s="3" t="s">
        <v>140</v>
      </c>
      <c r="K1" s="3" t="s">
        <v>141</v>
      </c>
    </row>
    <row r="2" spans="1:11" x14ac:dyDescent="0.3">
      <c r="A2" s="1" t="s">
        <v>18</v>
      </c>
      <c r="D2" s="1" t="s">
        <v>161</v>
      </c>
      <c r="E2" s="1" t="s">
        <v>145</v>
      </c>
      <c r="F2" s="1" t="s">
        <v>166</v>
      </c>
      <c r="G2" s="1" t="s">
        <v>142</v>
      </c>
      <c r="H2" s="1">
        <v>160</v>
      </c>
      <c r="I2" s="1">
        <v>180</v>
      </c>
      <c r="J2" s="1">
        <v>100</v>
      </c>
      <c r="K2" s="1">
        <f>I2*J2</f>
        <v>18000</v>
      </c>
    </row>
    <row r="3" spans="1:11" x14ac:dyDescent="0.3">
      <c r="A3" s="1" t="s">
        <v>18</v>
      </c>
      <c r="F3" s="1" t="s">
        <v>164</v>
      </c>
      <c r="G3" s="1" t="s">
        <v>142</v>
      </c>
      <c r="H3" s="1">
        <v>200</v>
      </c>
      <c r="I3" s="1">
        <v>220</v>
      </c>
      <c r="J3" s="1">
        <v>50</v>
      </c>
      <c r="K3" s="1">
        <f t="shared" ref="K3:K6" si="0">I3*J3</f>
        <v>11000</v>
      </c>
    </row>
    <row r="4" spans="1:11" x14ac:dyDescent="0.3">
      <c r="A4" s="1" t="s">
        <v>18</v>
      </c>
      <c r="F4" s="1" t="s">
        <v>167</v>
      </c>
      <c r="G4" s="1" t="s">
        <v>143</v>
      </c>
      <c r="H4" s="1">
        <v>150</v>
      </c>
      <c r="I4" s="1">
        <v>200</v>
      </c>
      <c r="J4" s="1">
        <v>30</v>
      </c>
      <c r="K4" s="1">
        <f t="shared" si="0"/>
        <v>6000</v>
      </c>
    </row>
    <row r="5" spans="1:11" x14ac:dyDescent="0.3">
      <c r="A5" s="1" t="s">
        <v>19</v>
      </c>
      <c r="F5" s="1" t="s">
        <v>165</v>
      </c>
      <c r="G5" s="1" t="s">
        <v>142</v>
      </c>
      <c r="H5" s="1">
        <v>110</v>
      </c>
      <c r="I5" s="1">
        <v>150</v>
      </c>
      <c r="J5" s="1">
        <v>80</v>
      </c>
      <c r="K5" s="1">
        <f t="shared" si="0"/>
        <v>12000</v>
      </c>
    </row>
    <row r="6" spans="1:11" x14ac:dyDescent="0.3">
      <c r="A6" s="1" t="s">
        <v>19</v>
      </c>
      <c r="F6" s="1" t="s">
        <v>168</v>
      </c>
      <c r="G6" s="1" t="s">
        <v>143</v>
      </c>
      <c r="H6" s="1">
        <v>80</v>
      </c>
      <c r="I6" s="1">
        <v>150</v>
      </c>
      <c r="J6" s="1">
        <v>100</v>
      </c>
      <c r="K6" s="1">
        <f t="shared" si="0"/>
        <v>15000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611B469-FFB9-46B9-A098-7FC404FD1477}">
          <x14:formula1>
            <xm:f>'Data Sheet'!$A$2:$A$16</xm:f>
          </x14:formula1>
          <xm:sqref>F1:F1048576</xm:sqref>
        </x14:dataValidation>
        <x14:dataValidation type="list" allowBlank="1" showInputMessage="1" showErrorMessage="1" xr:uid="{87A23CE0-FB4E-4572-85DF-35601054FD5F}">
          <x14:formula1>
            <xm:f>'Data Sheet'!$C$2:$C$3</xm:f>
          </x14:formula1>
          <xm:sqref>D2:D16</xm:sqref>
        </x14:dataValidation>
        <x14:dataValidation type="list" allowBlank="1" showInputMessage="1" showErrorMessage="1" xr:uid="{EF48F734-7315-44F5-A030-1B4E9012D0C3}">
          <x14:formula1>
            <xm:f>'Data Sheet'!$E$2:$E$16</xm:f>
          </x14:formula1>
          <xm:sqref>E2:E22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0BB32-70A0-4CC8-B8BA-823B270277D2}">
  <sheetPr>
    <tabColor theme="9"/>
  </sheetPr>
  <dimension ref="A1:I3"/>
  <sheetViews>
    <sheetView zoomScale="90" zoomScaleNormal="90" workbookViewId="0">
      <pane ySplit="1" topLeftCell="A2" activePane="bottomLeft" state="frozen"/>
      <selection activeCell="K2" sqref="K2"/>
      <selection pane="bottomLeft" activeCell="K2" sqref="K2"/>
    </sheetView>
  </sheetViews>
  <sheetFormatPr defaultRowHeight="13" x14ac:dyDescent="0.3"/>
  <cols>
    <col min="1" max="1" width="19" style="1" bestFit="1" customWidth="1"/>
    <col min="2" max="2" width="15.6328125" style="1" bestFit="1" customWidth="1"/>
    <col min="3" max="3" width="10.1796875" style="1" bestFit="1" customWidth="1"/>
    <col min="4" max="4" width="12.6328125" style="1" bestFit="1" customWidth="1"/>
    <col min="5" max="5" width="9.1796875" style="1" bestFit="1" customWidth="1"/>
    <col min="6" max="6" width="15.54296875" style="1" bestFit="1" customWidth="1"/>
    <col min="7" max="7" width="10.08984375" style="1" bestFit="1" customWidth="1"/>
    <col min="8" max="8" width="10.7265625" style="1" bestFit="1" customWidth="1"/>
    <col min="9" max="9" width="44.08984375" style="1" bestFit="1" customWidth="1"/>
    <col min="10" max="16384" width="8.7265625" style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153</v>
      </c>
      <c r="E1" s="3" t="s">
        <v>7</v>
      </c>
      <c r="F1" s="3" t="s">
        <v>154</v>
      </c>
      <c r="G1" s="3" t="s">
        <v>155</v>
      </c>
      <c r="H1" s="3" t="s">
        <v>152</v>
      </c>
      <c r="I1" s="3" t="s">
        <v>156</v>
      </c>
    </row>
    <row r="2" spans="1:9" x14ac:dyDescent="0.3">
      <c r="A2" s="1" t="s">
        <v>18</v>
      </c>
      <c r="B2" s="7">
        <v>45658</v>
      </c>
      <c r="C2" s="7">
        <v>46112</v>
      </c>
      <c r="D2" s="1">
        <f>SUMIFS('Project Wise Revenue'!E:E,'Project Wise Revenue'!B:B,'Project Summary'!A2)</f>
        <v>200000</v>
      </c>
      <c r="E2" s="1">
        <f>SUMIFS('Resource Allocation'!K:K,'Resource Allocation'!A:A,'Project Summary'!A2)</f>
        <v>35000</v>
      </c>
      <c r="F2" s="8">
        <f>E2/D2</f>
        <v>0.17499999999999999</v>
      </c>
      <c r="G2" s="8">
        <f>(D2-E2)/D2</f>
        <v>0.82499999999999996</v>
      </c>
      <c r="H2" s="1" t="str">
        <f>IF(G2&lt;0,"Red",IF(G2&lt;0.2,"Amber","Green"))</f>
        <v>Green</v>
      </c>
      <c r="I2" s="1" t="str">
        <f>IF(OR(G2&lt;0,F2&gt;0.85),"Red",IF(G2&gt;0.7,"Amber","Green"))</f>
        <v>Amber</v>
      </c>
    </row>
    <row r="3" spans="1:9" x14ac:dyDescent="0.3">
      <c r="A3" s="1" t="s">
        <v>19</v>
      </c>
      <c r="B3" s="7">
        <v>45672</v>
      </c>
      <c r="C3" s="7">
        <v>46127</v>
      </c>
      <c r="D3" s="1">
        <f>SUMIFS('Project Wise Revenue'!E:E,'Project Wise Revenue'!B:B,'Project Summary'!A3)</f>
        <v>450000</v>
      </c>
      <c r="E3" s="1">
        <f>SUMIFS('Resource Allocation'!K:K,'Resource Allocation'!A:A,'Project Summary'!A3)</f>
        <v>27000</v>
      </c>
      <c r="F3" s="8">
        <f>E3/D3</f>
        <v>0.06</v>
      </c>
      <c r="G3" s="8">
        <f>(D3-E3)/D3</f>
        <v>0.94</v>
      </c>
      <c r="H3" s="1" t="str">
        <f>IF(G3&lt;0,"Red",IF(G3&lt;0.2,"Amber","Green"))</f>
        <v>Green</v>
      </c>
      <c r="I3" s="1" t="str">
        <f>IF(OR(G3&lt;0,F3&gt;0.85),"Red",IF(G3&gt;0.7,"Amber","Green"))</f>
        <v>Amber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5568B-99A8-4322-88E1-8C14AB21E38E}">
  <dimension ref="A1:E3"/>
  <sheetViews>
    <sheetView zoomScale="90" zoomScaleNormal="90" workbookViewId="0">
      <pane ySplit="1" topLeftCell="A2" activePane="bottomLeft" state="frozen"/>
      <selection activeCell="K2" sqref="K2"/>
      <selection pane="bottomLeft" activeCell="K2" sqref="K2"/>
    </sheetView>
  </sheetViews>
  <sheetFormatPr defaultRowHeight="13" x14ac:dyDescent="0.3"/>
  <cols>
    <col min="1" max="1" width="8.7265625" style="1"/>
    <col min="2" max="2" width="17.54296875" style="1" bestFit="1" customWidth="1"/>
    <col min="3" max="3" width="14.36328125" style="27" bestFit="1" customWidth="1"/>
    <col min="4" max="4" width="14.08984375" style="1" bestFit="1" customWidth="1"/>
    <col min="5" max="5" width="12.6328125" style="1" bestFit="1" customWidth="1"/>
    <col min="6" max="16384" width="8.7265625" style="1"/>
  </cols>
  <sheetData>
    <row r="1" spans="1:5" x14ac:dyDescent="0.3">
      <c r="A1" s="1" t="s">
        <v>262</v>
      </c>
      <c r="B1" s="1" t="s">
        <v>0</v>
      </c>
      <c r="C1" s="1" t="s">
        <v>324</v>
      </c>
      <c r="D1" s="1" t="s">
        <v>148</v>
      </c>
      <c r="E1" s="1" t="s">
        <v>149</v>
      </c>
    </row>
    <row r="2" spans="1:5" x14ac:dyDescent="0.3">
      <c r="A2" s="1" t="s">
        <v>264</v>
      </c>
      <c r="B2" s="1" t="s">
        <v>18</v>
      </c>
      <c r="C2" s="27">
        <v>46048</v>
      </c>
      <c r="D2" s="1">
        <v>500000</v>
      </c>
      <c r="E2" s="1">
        <v>200000</v>
      </c>
    </row>
    <row r="3" spans="1:5" x14ac:dyDescent="0.3">
      <c r="A3" s="1" t="s">
        <v>265</v>
      </c>
      <c r="B3" s="1" t="s">
        <v>19</v>
      </c>
      <c r="C3" s="27">
        <v>46048</v>
      </c>
      <c r="D3" s="1">
        <v>800000</v>
      </c>
      <c r="E3" s="1">
        <v>450000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62B3A-73A6-4120-ADBE-8C9D8F34C1FA}">
  <dimension ref="A1:H5"/>
  <sheetViews>
    <sheetView zoomScale="90" zoomScaleNormal="90" workbookViewId="0">
      <pane ySplit="1" topLeftCell="A2" activePane="bottomLeft" state="frozen"/>
      <selection activeCell="K2" sqref="K2"/>
      <selection pane="bottomLeft" activeCell="K2" sqref="K2"/>
    </sheetView>
  </sheetViews>
  <sheetFormatPr defaultRowHeight="13" x14ac:dyDescent="0.3"/>
  <cols>
    <col min="1" max="1" width="19" style="1" bestFit="1" customWidth="1"/>
    <col min="2" max="2" width="8.453125" style="1" bestFit="1" customWidth="1"/>
    <col min="3" max="3" width="9.1796875" style="1" bestFit="1" customWidth="1"/>
    <col min="4" max="4" width="14" style="1" bestFit="1" customWidth="1"/>
    <col min="5" max="5" width="15.81640625" style="1" bestFit="1" customWidth="1"/>
    <col min="6" max="6" width="12" style="1" bestFit="1" customWidth="1"/>
    <col min="7" max="7" width="11.90625" style="1" bestFit="1" customWidth="1"/>
    <col min="8" max="8" width="10.7265625" style="1" bestFit="1" customWidth="1"/>
    <col min="9" max="16384" width="8.7265625" style="1"/>
  </cols>
  <sheetData>
    <row r="1" spans="1:8" x14ac:dyDescent="0.3">
      <c r="A1" s="3" t="s">
        <v>0</v>
      </c>
      <c r="B1" s="3" t="s">
        <v>157</v>
      </c>
      <c r="C1" s="3" t="s">
        <v>7</v>
      </c>
      <c r="D1" s="3" t="s">
        <v>149</v>
      </c>
      <c r="E1" s="3" t="s">
        <v>150</v>
      </c>
      <c r="F1" s="3" t="s">
        <v>151</v>
      </c>
      <c r="G1" s="3" t="s">
        <v>131</v>
      </c>
      <c r="H1" s="3" t="s">
        <v>152</v>
      </c>
    </row>
    <row r="2" spans="1:8" x14ac:dyDescent="0.3">
      <c r="A2" s="1" t="s">
        <v>18</v>
      </c>
      <c r="B2" s="1" t="s">
        <v>142</v>
      </c>
      <c r="C2" s="1">
        <f>SUMIFS('Resource Allocation'!K:K,'Resource Allocation'!A:A,'Project Timeline Burn '!A2,'Resource Allocation'!G:G,'Project Timeline Burn '!B2)</f>
        <v>29000</v>
      </c>
      <c r="D2" s="1">
        <f>SUMIFS('Project Wise Revenue'!E:E,'Project Wise Revenue'!B:B,'Project Timeline Burn '!A2,'Project Wise Revenue'!C:C,'Project Timeline Burn '!B2)</f>
        <v>0</v>
      </c>
      <c r="E2" s="8" t="e">
        <f>D2/SUMIFS('Project Wise Revenue'!D:D,'Project Wise Revenue'!B:B,'Project Timeline Burn '!A2,'Project Wise Revenue'!C:C,'Project Timeline Burn '!B2)</f>
        <v>#DIV/0!</v>
      </c>
      <c r="F2" s="8" t="e">
        <f>C2/D2</f>
        <v>#DIV/0!</v>
      </c>
      <c r="G2" s="8" t="e">
        <f>(D2-C2)/D2</f>
        <v>#DIV/0!</v>
      </c>
      <c r="H2" s="1" t="e">
        <f>IF(F2&gt;0.85,"Red",IF(F2&gt;0.6,"Amber","Green"))</f>
        <v>#DIV/0!</v>
      </c>
    </row>
    <row r="3" spans="1:8" x14ac:dyDescent="0.3">
      <c r="A3" s="1" t="s">
        <v>18</v>
      </c>
      <c r="B3" s="1" t="s">
        <v>143</v>
      </c>
      <c r="C3" s="1">
        <f>SUMIFS('Resource Allocation'!K:K,'Resource Allocation'!A:A,'Project Timeline Burn '!A3,'Resource Allocation'!G:G,'Project Timeline Burn '!B3)</f>
        <v>6000</v>
      </c>
      <c r="D3" s="1">
        <f>SUMIFS('Project Wise Revenue'!E:E,'Project Wise Revenue'!B:B,'Project Timeline Burn '!A3,'Project Wise Revenue'!C:C,'Project Timeline Burn '!B3)</f>
        <v>0</v>
      </c>
      <c r="E3" s="8" t="e">
        <f>D3/SUMIFS('Project Wise Revenue'!D:D,'Project Wise Revenue'!B:B,'Project Timeline Burn '!A3,'Project Wise Revenue'!C:C,'Project Timeline Burn '!B3)</f>
        <v>#DIV/0!</v>
      </c>
      <c r="F3" s="8" t="e">
        <f t="shared" ref="F3:F5" si="0">C3/D3</f>
        <v>#DIV/0!</v>
      </c>
      <c r="G3" s="8" t="e">
        <f t="shared" ref="G3:G5" si="1">(D3-C3)/D3</f>
        <v>#DIV/0!</v>
      </c>
      <c r="H3" s="1" t="e">
        <f t="shared" ref="H3:H5" si="2">IF(F3&gt;0.85,"Red",IF(F3&gt;0.75,"Amber","Green"))</f>
        <v>#DIV/0!</v>
      </c>
    </row>
    <row r="4" spans="1:8" x14ac:dyDescent="0.3">
      <c r="A4" s="1" t="s">
        <v>19</v>
      </c>
      <c r="B4" s="1" t="s">
        <v>142</v>
      </c>
      <c r="C4" s="1">
        <f>SUMIFS('Resource Allocation'!K:K,'Resource Allocation'!A:A,'Project Timeline Burn '!A4,'Resource Allocation'!G:G,'Project Timeline Burn '!B4)</f>
        <v>12000</v>
      </c>
      <c r="D4" s="1">
        <f>SUMIFS('Project Wise Revenue'!E:E,'Project Wise Revenue'!B:B,'Project Timeline Burn '!A4,'Project Wise Revenue'!C:C,'Project Timeline Burn '!B4)</f>
        <v>0</v>
      </c>
      <c r="E4" s="8" t="e">
        <f>D4/SUMIFS('Project Wise Revenue'!D:D,'Project Wise Revenue'!B:B,'Project Timeline Burn '!A4,'Project Wise Revenue'!C:C,'Project Timeline Burn '!B4)</f>
        <v>#DIV/0!</v>
      </c>
      <c r="F4" s="8" t="e">
        <f t="shared" si="0"/>
        <v>#DIV/0!</v>
      </c>
      <c r="G4" s="8" t="e">
        <f t="shared" si="1"/>
        <v>#DIV/0!</v>
      </c>
      <c r="H4" s="1" t="e">
        <f t="shared" si="2"/>
        <v>#DIV/0!</v>
      </c>
    </row>
    <row r="5" spans="1:8" x14ac:dyDescent="0.3">
      <c r="A5" s="1" t="s">
        <v>19</v>
      </c>
      <c r="B5" s="1" t="s">
        <v>143</v>
      </c>
      <c r="C5" s="1">
        <f>SUMIFS('Resource Allocation'!K:K,'Resource Allocation'!A:A,'Project Timeline Burn '!A5,'Resource Allocation'!G:G,'Project Timeline Burn '!B5)</f>
        <v>15000</v>
      </c>
      <c r="D5" s="1">
        <f>SUMIFS('Project Wise Revenue'!E:E,'Project Wise Revenue'!B:B,'Project Timeline Burn '!A5,'Project Wise Revenue'!C:C,'Project Timeline Burn '!B5)</f>
        <v>0</v>
      </c>
      <c r="E5" s="8" t="e">
        <f>D5/SUMIFS('Project Wise Revenue'!D:D,'Project Wise Revenue'!B:B,'Project Timeline Burn '!A5,'Project Wise Revenue'!C:C,'Project Timeline Burn '!B5)</f>
        <v>#DIV/0!</v>
      </c>
      <c r="F5" s="8" t="e">
        <f t="shared" si="0"/>
        <v>#DIV/0!</v>
      </c>
      <c r="G5" s="8" t="e">
        <f t="shared" si="1"/>
        <v>#DIV/0!</v>
      </c>
      <c r="H5" s="1" t="e">
        <f t="shared" si="2"/>
        <v>#DIV/0!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A38E2-514B-4683-A6B8-437DBB3869F7}">
  <dimension ref="A1:J1"/>
  <sheetViews>
    <sheetView zoomScale="90" zoomScaleNormal="90" workbookViewId="0">
      <pane ySplit="1" topLeftCell="A2" activePane="bottomLeft" state="frozen"/>
      <selection activeCell="K2" sqref="K2"/>
      <selection pane="bottomLeft" activeCell="J1" sqref="J1"/>
    </sheetView>
  </sheetViews>
  <sheetFormatPr defaultRowHeight="14.5" x14ac:dyDescent="0.35"/>
  <cols>
    <col min="1" max="1" width="11.08984375" bestFit="1" customWidth="1"/>
    <col min="2" max="2" width="9.08984375" bestFit="1" customWidth="1"/>
    <col min="3" max="3" width="8.26953125" bestFit="1" customWidth="1"/>
    <col min="4" max="4" width="11.36328125" bestFit="1" customWidth="1"/>
    <col min="5" max="5" width="10.1796875" bestFit="1" customWidth="1"/>
    <col min="6" max="6" width="14.08984375" bestFit="1" customWidth="1"/>
    <col min="7" max="7" width="9" bestFit="1" customWidth="1"/>
    <col min="8" max="8" width="9.90625" bestFit="1" customWidth="1"/>
    <col min="9" max="9" width="13.36328125" bestFit="1" customWidth="1"/>
    <col min="10" max="10" width="11.6328125" bestFit="1" customWidth="1"/>
  </cols>
  <sheetData>
    <row r="1" spans="1:10" x14ac:dyDescent="0.35">
      <c r="A1" t="s">
        <v>266</v>
      </c>
      <c r="B1" t="s">
        <v>1</v>
      </c>
      <c r="C1" t="s">
        <v>2</v>
      </c>
      <c r="D1" t="s">
        <v>262</v>
      </c>
      <c r="E1" t="s">
        <v>267</v>
      </c>
      <c r="F1" t="s">
        <v>272</v>
      </c>
      <c r="G1" t="s">
        <v>268</v>
      </c>
      <c r="H1" t="s">
        <v>269</v>
      </c>
      <c r="I1" t="s">
        <v>271</v>
      </c>
      <c r="J1" t="s">
        <v>270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641EA-55B6-4791-9877-7A0A2F738D3F}">
  <dimension ref="A3:M95"/>
  <sheetViews>
    <sheetView zoomScale="90" zoomScaleNormal="90" workbookViewId="0">
      <selection activeCell="K2" sqref="K2"/>
    </sheetView>
  </sheetViews>
  <sheetFormatPr defaultRowHeight="13" x14ac:dyDescent="0.3"/>
  <cols>
    <col min="1" max="1" width="23.54296875" style="1" bestFit="1" customWidth="1"/>
    <col min="2" max="2" width="14.26953125" style="1" bestFit="1" customWidth="1"/>
    <col min="3" max="3" width="18.54296875" style="1" bestFit="1" customWidth="1"/>
    <col min="4" max="4" width="14.26953125" style="1" bestFit="1" customWidth="1"/>
    <col min="5" max="5" width="15.36328125" style="1" bestFit="1" customWidth="1"/>
    <col min="6" max="7" width="8.7265625" style="1"/>
    <col min="8" max="8" width="15.90625" style="1" bestFit="1" customWidth="1"/>
    <col min="9" max="9" width="24.6328125" style="1" bestFit="1" customWidth="1"/>
    <col min="10" max="10" width="26.90625" style="1" bestFit="1" customWidth="1"/>
    <col min="11" max="11" width="8.90625" style="1" bestFit="1" customWidth="1"/>
    <col min="12" max="12" width="11.1796875" style="1" bestFit="1" customWidth="1"/>
    <col min="13" max="13" width="15.90625" style="1" bestFit="1" customWidth="1"/>
    <col min="14" max="16384" width="8.7265625" style="1"/>
  </cols>
  <sheetData>
    <row r="3" spans="1:13" x14ac:dyDescent="0.3">
      <c r="D3" s="30" t="s">
        <v>318</v>
      </c>
      <c r="H3" s="30" t="s">
        <v>317</v>
      </c>
      <c r="M3" s="31"/>
    </row>
    <row r="4" spans="1:13" x14ac:dyDescent="0.3">
      <c r="A4" s="30" t="s">
        <v>262</v>
      </c>
      <c r="B4" s="30" t="s">
        <v>319</v>
      </c>
      <c r="C4" s="30" t="s">
        <v>0</v>
      </c>
      <c r="D4" s="1" t="s">
        <v>316</v>
      </c>
      <c r="E4" s="1" t="s">
        <v>317</v>
      </c>
      <c r="H4" s="30" t="s">
        <v>262</v>
      </c>
      <c r="I4" s="30" t="s">
        <v>0</v>
      </c>
      <c r="J4" s="30" t="s">
        <v>136</v>
      </c>
      <c r="K4" s="30" t="s">
        <v>319</v>
      </c>
      <c r="L4" s="1" t="s">
        <v>322</v>
      </c>
      <c r="M4" s="31"/>
    </row>
    <row r="5" spans="1:13" x14ac:dyDescent="0.3">
      <c r="A5" s="1" t="s">
        <v>264</v>
      </c>
      <c r="B5" s="25">
        <v>0.25</v>
      </c>
      <c r="C5" s="1" t="s">
        <v>18</v>
      </c>
      <c r="D5" s="1">
        <v>1</v>
      </c>
      <c r="E5" s="32">
        <v>737.35611261259044</v>
      </c>
      <c r="H5" s="1" t="s">
        <v>264</v>
      </c>
      <c r="I5" s="1" t="s">
        <v>18</v>
      </c>
      <c r="J5" s="1" t="s">
        <v>237</v>
      </c>
      <c r="K5" s="25">
        <v>1</v>
      </c>
      <c r="L5" s="32">
        <v>6303.4495247885898</v>
      </c>
      <c r="M5" s="31"/>
    </row>
    <row r="6" spans="1:13" x14ac:dyDescent="0.3">
      <c r="B6" s="25">
        <v>1</v>
      </c>
      <c r="C6" s="1" t="s">
        <v>18</v>
      </c>
      <c r="D6" s="1">
        <v>26</v>
      </c>
      <c r="E6" s="32">
        <v>458979.76234506548</v>
      </c>
      <c r="J6" s="1" t="s">
        <v>217</v>
      </c>
      <c r="K6" s="25">
        <v>0.25</v>
      </c>
      <c r="L6" s="32">
        <v>737.35611261259044</v>
      </c>
      <c r="M6" s="31"/>
    </row>
    <row r="7" spans="1:13" x14ac:dyDescent="0.3">
      <c r="A7" s="1" t="s">
        <v>265</v>
      </c>
      <c r="B7" s="25">
        <v>1</v>
      </c>
      <c r="C7" s="1" t="s">
        <v>19</v>
      </c>
      <c r="D7" s="1">
        <v>18</v>
      </c>
      <c r="E7" s="32">
        <v>378413.2851536448</v>
      </c>
      <c r="J7" s="1" t="s">
        <v>232</v>
      </c>
      <c r="K7" s="25">
        <v>1</v>
      </c>
      <c r="L7" s="32">
        <v>6303.4495247885898</v>
      </c>
      <c r="M7" s="31"/>
    </row>
    <row r="8" spans="1:13" x14ac:dyDescent="0.3">
      <c r="A8" s="1" t="s">
        <v>315</v>
      </c>
      <c r="D8" s="1">
        <v>45</v>
      </c>
      <c r="E8" s="32">
        <v>838130.40361132252</v>
      </c>
      <c r="J8" s="1" t="s">
        <v>249</v>
      </c>
      <c r="K8" s="25">
        <v>1</v>
      </c>
      <c r="L8" s="32">
        <v>69467.772204210531</v>
      </c>
      <c r="M8" s="31"/>
    </row>
    <row r="9" spans="1:13" x14ac:dyDescent="0.3">
      <c r="J9" s="1" t="s">
        <v>238</v>
      </c>
      <c r="K9" s="25">
        <v>1</v>
      </c>
      <c r="L9" s="32">
        <v>11432.562438195382</v>
      </c>
      <c r="M9" s="31"/>
    </row>
    <row r="10" spans="1:13" x14ac:dyDescent="0.3">
      <c r="J10" s="1" t="s">
        <v>218</v>
      </c>
      <c r="K10" s="25">
        <v>1</v>
      </c>
      <c r="L10" s="32">
        <v>21704.695781565679</v>
      </c>
      <c r="M10" s="31"/>
    </row>
    <row r="11" spans="1:13" x14ac:dyDescent="0.3">
      <c r="J11" s="1" t="s">
        <v>219</v>
      </c>
      <c r="K11" s="25">
        <v>1</v>
      </c>
      <c r="L11" s="32">
        <v>11432.562438195382</v>
      </c>
      <c r="M11" s="31"/>
    </row>
    <row r="12" spans="1:13" x14ac:dyDescent="0.3">
      <c r="J12" s="1" t="s">
        <v>242</v>
      </c>
      <c r="K12" s="25">
        <v>1</v>
      </c>
      <c r="L12" s="32">
        <v>6303.4495247885898</v>
      </c>
      <c r="M12" s="31"/>
    </row>
    <row r="13" spans="1:13" x14ac:dyDescent="0.3">
      <c r="J13" s="1" t="s">
        <v>248</v>
      </c>
      <c r="K13" s="25">
        <v>1</v>
      </c>
      <c r="L13" s="32">
        <v>11432.562438195382</v>
      </c>
      <c r="M13" s="31"/>
    </row>
    <row r="14" spans="1:13" x14ac:dyDescent="0.3">
      <c r="J14" s="1" t="s">
        <v>254</v>
      </c>
      <c r="K14" s="25">
        <v>1</v>
      </c>
      <c r="L14" s="32">
        <v>11432.562438195382</v>
      </c>
      <c r="M14" s="31"/>
    </row>
    <row r="15" spans="1:13" x14ac:dyDescent="0.3">
      <c r="J15" s="1" t="s">
        <v>253</v>
      </c>
      <c r="K15" s="25">
        <v>1</v>
      </c>
      <c r="L15" s="32">
        <v>21704.695781565679</v>
      </c>
      <c r="M15" s="31"/>
    </row>
    <row r="16" spans="1:13" x14ac:dyDescent="0.3">
      <c r="J16" s="1" t="s">
        <v>259</v>
      </c>
      <c r="K16" s="25">
        <v>1</v>
      </c>
      <c r="L16" s="32">
        <v>69467.772204210531</v>
      </c>
      <c r="M16" s="31"/>
    </row>
    <row r="17" spans="9:13" x14ac:dyDescent="0.3">
      <c r="J17" s="1" t="s">
        <v>257</v>
      </c>
      <c r="K17" s="25">
        <v>1</v>
      </c>
      <c r="L17" s="32">
        <v>11432.562438195382</v>
      </c>
      <c r="M17" s="31"/>
    </row>
    <row r="18" spans="9:13" x14ac:dyDescent="0.3">
      <c r="J18" s="1" t="s">
        <v>239</v>
      </c>
      <c r="K18" s="25">
        <v>1</v>
      </c>
      <c r="L18" s="32">
        <v>21704.695781565679</v>
      </c>
      <c r="M18" s="31"/>
    </row>
    <row r="19" spans="9:13" x14ac:dyDescent="0.3">
      <c r="J19" s="1" t="s">
        <v>233</v>
      </c>
      <c r="K19" s="25">
        <v>1</v>
      </c>
      <c r="L19" s="32">
        <v>11432.562438195382</v>
      </c>
      <c r="M19" s="31"/>
    </row>
    <row r="20" spans="9:13" x14ac:dyDescent="0.3">
      <c r="J20" s="1" t="s">
        <v>234</v>
      </c>
      <c r="K20" s="25">
        <v>1</v>
      </c>
      <c r="L20" s="32">
        <v>6303.4495247885898</v>
      </c>
      <c r="M20" s="31"/>
    </row>
    <row r="21" spans="9:13" x14ac:dyDescent="0.3">
      <c r="J21" s="1" t="s">
        <v>222</v>
      </c>
      <c r="K21" s="25">
        <v>1</v>
      </c>
      <c r="L21" s="32">
        <v>11432.562438195382</v>
      </c>
      <c r="M21" s="31"/>
    </row>
    <row r="22" spans="9:13" x14ac:dyDescent="0.3">
      <c r="J22" s="1" t="s">
        <v>252</v>
      </c>
      <c r="K22" s="25">
        <v>1</v>
      </c>
      <c r="L22" s="32">
        <v>31380.179708333038</v>
      </c>
      <c r="M22" s="31"/>
    </row>
    <row r="23" spans="9:13" x14ac:dyDescent="0.3">
      <c r="J23" s="1" t="s">
        <v>223</v>
      </c>
      <c r="K23" s="25">
        <v>1</v>
      </c>
      <c r="L23" s="32">
        <v>11432.562438195382</v>
      </c>
      <c r="M23" s="31"/>
    </row>
    <row r="24" spans="9:13" x14ac:dyDescent="0.3">
      <c r="J24" s="1" t="s">
        <v>258</v>
      </c>
      <c r="K24" s="25">
        <v>1</v>
      </c>
      <c r="L24" s="32">
        <v>11432.562438195382</v>
      </c>
      <c r="M24" s="31"/>
    </row>
    <row r="25" spans="9:13" x14ac:dyDescent="0.3">
      <c r="J25" s="1" t="s">
        <v>243</v>
      </c>
      <c r="K25" s="25">
        <v>1</v>
      </c>
      <c r="L25" s="32">
        <v>11432.562438195382</v>
      </c>
      <c r="M25" s="31"/>
    </row>
    <row r="26" spans="9:13" x14ac:dyDescent="0.3">
      <c r="J26" s="1" t="s">
        <v>247</v>
      </c>
      <c r="K26" s="25">
        <v>1</v>
      </c>
      <c r="L26" s="32">
        <v>11432.562438195382</v>
      </c>
      <c r="M26" s="31"/>
    </row>
    <row r="27" spans="9:13" x14ac:dyDescent="0.3">
      <c r="J27" s="1" t="s">
        <v>227</v>
      </c>
      <c r="K27" s="25">
        <v>1</v>
      </c>
      <c r="L27" s="32">
        <v>11432.562438195382</v>
      </c>
      <c r="M27" s="31"/>
    </row>
    <row r="28" spans="9:13" x14ac:dyDescent="0.3">
      <c r="J28" s="1" t="s">
        <v>244</v>
      </c>
      <c r="K28" s="25">
        <v>1</v>
      </c>
      <c r="L28" s="32">
        <v>21704.695781565679</v>
      </c>
      <c r="M28" s="31"/>
    </row>
    <row r="29" spans="9:13" x14ac:dyDescent="0.3">
      <c r="J29" s="1" t="s">
        <v>228</v>
      </c>
      <c r="K29" s="25">
        <v>1</v>
      </c>
      <c r="L29" s="32">
        <v>21704.695781565679</v>
      </c>
      <c r="M29" s="31"/>
    </row>
    <row r="30" spans="9:13" x14ac:dyDescent="0.3">
      <c r="J30" s="1" t="s">
        <v>229</v>
      </c>
      <c r="K30" s="25">
        <v>1</v>
      </c>
      <c r="L30" s="32">
        <v>6303.4495247885898</v>
      </c>
      <c r="M30" s="31"/>
    </row>
    <row r="31" spans="9:13" x14ac:dyDescent="0.3">
      <c r="J31" s="1" t="s">
        <v>224</v>
      </c>
      <c r="K31" s="25">
        <v>1</v>
      </c>
      <c r="L31" s="32">
        <v>11432.562438195382</v>
      </c>
      <c r="M31" s="31"/>
    </row>
    <row r="32" spans="9:13" x14ac:dyDescent="0.3">
      <c r="I32" s="1" t="s">
        <v>320</v>
      </c>
      <c r="L32" s="32">
        <v>459717.11845767812</v>
      </c>
      <c r="M32" s="31"/>
    </row>
    <row r="33" spans="8:13" x14ac:dyDescent="0.3">
      <c r="H33" s="1" t="s">
        <v>265</v>
      </c>
      <c r="I33" s="1" t="s">
        <v>19</v>
      </c>
      <c r="J33" s="1" t="s">
        <v>261</v>
      </c>
      <c r="K33" s="25">
        <v>1</v>
      </c>
      <c r="L33" s="32">
        <v>77674.757916188959</v>
      </c>
      <c r="M33" s="31"/>
    </row>
    <row r="34" spans="8:13" x14ac:dyDescent="0.3">
      <c r="J34" s="1" t="s">
        <v>225</v>
      </c>
      <c r="K34" s="25">
        <v>1</v>
      </c>
      <c r="L34" s="32">
        <v>32585.552022542724</v>
      </c>
      <c r="M34" s="31"/>
    </row>
    <row r="35" spans="8:13" x14ac:dyDescent="0.3">
      <c r="J35" s="1" t="s">
        <v>256</v>
      </c>
      <c r="K35" s="25">
        <v>1</v>
      </c>
      <c r="L35" s="32">
        <v>21704.695781565679</v>
      </c>
      <c r="M35" s="31"/>
    </row>
    <row r="36" spans="8:13" x14ac:dyDescent="0.3">
      <c r="J36" s="1" t="s">
        <v>251</v>
      </c>
      <c r="K36" s="25">
        <v>1</v>
      </c>
      <c r="L36" s="32">
        <v>6303.4495247885898</v>
      </c>
      <c r="M36" s="31"/>
    </row>
    <row r="37" spans="8:13" x14ac:dyDescent="0.3">
      <c r="J37" s="1" t="s">
        <v>231</v>
      </c>
      <c r="K37" s="25">
        <v>1</v>
      </c>
      <c r="L37" s="32">
        <v>6303.4495247885898</v>
      </c>
      <c r="M37" s="31"/>
    </row>
    <row r="38" spans="8:13" x14ac:dyDescent="0.3">
      <c r="J38" s="1" t="s">
        <v>220</v>
      </c>
      <c r="K38" s="25">
        <v>1</v>
      </c>
      <c r="L38" s="32">
        <v>11432.562438195382</v>
      </c>
      <c r="M38" s="31"/>
    </row>
    <row r="39" spans="8:13" x14ac:dyDescent="0.3">
      <c r="J39" s="1" t="s">
        <v>221</v>
      </c>
      <c r="K39" s="25">
        <v>1</v>
      </c>
      <c r="L39" s="32">
        <v>6303.4495247885898</v>
      </c>
      <c r="M39" s="31"/>
    </row>
    <row r="40" spans="8:13" x14ac:dyDescent="0.3">
      <c r="J40" s="1" t="s">
        <v>245</v>
      </c>
      <c r="K40" s="25">
        <v>1</v>
      </c>
      <c r="L40" s="32">
        <v>21704.695781565679</v>
      </c>
      <c r="M40" s="31"/>
    </row>
    <row r="41" spans="8:13" x14ac:dyDescent="0.3">
      <c r="J41" s="1" t="s">
        <v>260</v>
      </c>
      <c r="K41" s="25">
        <v>1</v>
      </c>
      <c r="L41" s="32">
        <v>43909.805658061581</v>
      </c>
      <c r="M41" s="31"/>
    </row>
    <row r="42" spans="8:13" x14ac:dyDescent="0.3">
      <c r="J42" s="1" t="s">
        <v>226</v>
      </c>
      <c r="K42" s="25">
        <v>1</v>
      </c>
      <c r="L42" s="32">
        <v>11432.562438195382</v>
      </c>
      <c r="M42" s="31"/>
    </row>
    <row r="43" spans="8:13" x14ac:dyDescent="0.3">
      <c r="J43" s="1" t="s">
        <v>255</v>
      </c>
      <c r="K43" s="25">
        <v>1</v>
      </c>
      <c r="L43" s="32">
        <v>21704.695781565679</v>
      </c>
      <c r="M43" s="31"/>
    </row>
    <row r="44" spans="8:13" x14ac:dyDescent="0.3">
      <c r="J44" s="1" t="s">
        <v>250</v>
      </c>
      <c r="K44" s="25">
        <v>1</v>
      </c>
      <c r="L44" s="32">
        <v>11432.562438195382</v>
      </c>
      <c r="M44" s="31"/>
    </row>
    <row r="45" spans="8:13" x14ac:dyDescent="0.3">
      <c r="J45" s="1" t="s">
        <v>246</v>
      </c>
      <c r="K45" s="25">
        <v>1</v>
      </c>
      <c r="L45" s="32">
        <v>48744.326615668935</v>
      </c>
      <c r="M45" s="31"/>
    </row>
    <row r="46" spans="8:13" x14ac:dyDescent="0.3">
      <c r="J46" s="1" t="s">
        <v>230</v>
      </c>
      <c r="K46" s="25">
        <v>1</v>
      </c>
      <c r="L46" s="32">
        <v>6303.4495247885898</v>
      </c>
      <c r="M46" s="31"/>
    </row>
    <row r="47" spans="8:13" x14ac:dyDescent="0.3">
      <c r="J47" s="1" t="s">
        <v>240</v>
      </c>
      <c r="K47" s="25">
        <v>1</v>
      </c>
      <c r="L47" s="32">
        <v>11432.562438195382</v>
      </c>
      <c r="M47" s="31"/>
    </row>
    <row r="48" spans="8:13" x14ac:dyDescent="0.3">
      <c r="J48" s="1" t="s">
        <v>236</v>
      </c>
      <c r="K48" s="25">
        <v>1</v>
      </c>
      <c r="L48" s="32">
        <v>21704.695781565679</v>
      </c>
      <c r="M48" s="31"/>
    </row>
    <row r="49" spans="8:13" x14ac:dyDescent="0.3">
      <c r="J49" s="1" t="s">
        <v>235</v>
      </c>
      <c r="K49" s="25">
        <v>1</v>
      </c>
      <c r="L49" s="32">
        <v>11432.562438195382</v>
      </c>
      <c r="M49" s="31"/>
    </row>
    <row r="50" spans="8:13" x14ac:dyDescent="0.3">
      <c r="J50" s="1" t="s">
        <v>241</v>
      </c>
      <c r="K50" s="25">
        <v>1</v>
      </c>
      <c r="L50" s="32">
        <v>6303.4495247885898</v>
      </c>
      <c r="M50" s="31"/>
    </row>
    <row r="51" spans="8:13" x14ac:dyDescent="0.3">
      <c r="I51" s="1" t="s">
        <v>321</v>
      </c>
      <c r="L51" s="32">
        <v>378413.28515364486</v>
      </c>
      <c r="M51" s="31"/>
    </row>
    <row r="52" spans="8:13" x14ac:dyDescent="0.3">
      <c r="H52" s="1" t="s">
        <v>315</v>
      </c>
      <c r="L52" s="32">
        <v>838130.40361132228</v>
      </c>
      <c r="M52" s="31"/>
    </row>
    <row r="53" spans="8:13" x14ac:dyDescent="0.3">
      <c r="H53" s="31"/>
      <c r="I53" s="31"/>
      <c r="J53" s="31"/>
      <c r="K53" s="31"/>
      <c r="L53" s="31"/>
      <c r="M53" s="31"/>
    </row>
    <row r="54" spans="8:13" x14ac:dyDescent="0.3">
      <c r="H54" s="31"/>
      <c r="I54" s="31"/>
      <c r="J54" s="31"/>
      <c r="K54" s="31"/>
      <c r="L54" s="31"/>
      <c r="M54" s="31"/>
    </row>
    <row r="55" spans="8:13" x14ac:dyDescent="0.3">
      <c r="H55" s="31"/>
      <c r="I55" s="31"/>
      <c r="J55" s="31"/>
      <c r="K55" s="31"/>
      <c r="L55" s="31"/>
      <c r="M55" s="31"/>
    </row>
    <row r="56" spans="8:13" x14ac:dyDescent="0.3">
      <c r="H56" s="31"/>
      <c r="I56" s="31"/>
      <c r="J56" s="31"/>
      <c r="K56" s="31"/>
      <c r="L56" s="31"/>
      <c r="M56" s="31"/>
    </row>
    <row r="57" spans="8:13" x14ac:dyDescent="0.3">
      <c r="H57" s="31"/>
      <c r="I57" s="31"/>
      <c r="J57" s="31"/>
      <c r="K57" s="31"/>
      <c r="L57" s="31"/>
      <c r="M57" s="31"/>
    </row>
    <row r="58" spans="8:13" x14ac:dyDescent="0.3">
      <c r="H58" s="31"/>
      <c r="I58" s="31"/>
      <c r="J58" s="31"/>
      <c r="K58" s="31"/>
      <c r="L58" s="31"/>
      <c r="M58" s="31"/>
    </row>
    <row r="59" spans="8:13" x14ac:dyDescent="0.3">
      <c r="H59" s="31"/>
      <c r="I59" s="31"/>
      <c r="J59" s="31"/>
      <c r="K59" s="31"/>
      <c r="L59" s="31"/>
      <c r="M59" s="31"/>
    </row>
    <row r="60" spans="8:13" x14ac:dyDescent="0.3">
      <c r="H60" s="31"/>
      <c r="I60" s="31"/>
      <c r="J60" s="31"/>
      <c r="K60" s="31"/>
      <c r="L60" s="31"/>
      <c r="M60" s="31"/>
    </row>
    <row r="61" spans="8:13" x14ac:dyDescent="0.3">
      <c r="H61" s="31"/>
      <c r="I61" s="31"/>
      <c r="J61" s="31"/>
      <c r="K61" s="31"/>
      <c r="L61" s="31"/>
      <c r="M61" s="31"/>
    </row>
    <row r="62" spans="8:13" x14ac:dyDescent="0.3">
      <c r="H62" s="31"/>
      <c r="I62" s="31"/>
      <c r="J62" s="31"/>
      <c r="K62" s="31"/>
      <c r="L62" s="31"/>
      <c r="M62" s="31"/>
    </row>
    <row r="63" spans="8:13" x14ac:dyDescent="0.3">
      <c r="H63" s="31"/>
      <c r="I63" s="31"/>
      <c r="J63" s="31"/>
      <c r="K63" s="31"/>
      <c r="L63" s="31"/>
      <c r="M63" s="31"/>
    </row>
    <row r="64" spans="8:13" x14ac:dyDescent="0.3">
      <c r="H64" s="31"/>
      <c r="I64" s="31"/>
      <c r="J64" s="31"/>
      <c r="K64" s="31"/>
      <c r="L64" s="31"/>
      <c r="M64" s="31"/>
    </row>
    <row r="65" spans="8:13" x14ac:dyDescent="0.3">
      <c r="H65" s="31"/>
      <c r="I65" s="31"/>
      <c r="J65" s="31"/>
      <c r="K65" s="31"/>
      <c r="L65" s="31"/>
      <c r="M65" s="31"/>
    </row>
    <row r="66" spans="8:13" x14ac:dyDescent="0.3">
      <c r="H66" s="31"/>
      <c r="I66" s="31"/>
      <c r="J66" s="31"/>
      <c r="K66" s="31"/>
      <c r="L66" s="31"/>
      <c r="M66" s="31"/>
    </row>
    <row r="67" spans="8:13" x14ac:dyDescent="0.3">
      <c r="H67" s="31"/>
      <c r="I67" s="31"/>
      <c r="J67" s="31"/>
      <c r="K67" s="31"/>
      <c r="L67" s="31"/>
      <c r="M67" s="31"/>
    </row>
    <row r="68" spans="8:13" x14ac:dyDescent="0.3">
      <c r="H68" s="31"/>
      <c r="I68" s="31"/>
      <c r="J68" s="31"/>
      <c r="K68" s="31"/>
      <c r="L68" s="31"/>
      <c r="M68" s="31"/>
    </row>
    <row r="69" spans="8:13" x14ac:dyDescent="0.3">
      <c r="H69" s="31"/>
      <c r="I69" s="31"/>
      <c r="J69" s="31"/>
      <c r="K69" s="31"/>
      <c r="L69" s="31"/>
      <c r="M69" s="31"/>
    </row>
    <row r="70" spans="8:13" x14ac:dyDescent="0.3">
      <c r="H70" s="31"/>
      <c r="I70" s="31"/>
      <c r="J70" s="31"/>
      <c r="K70" s="31"/>
      <c r="L70" s="31"/>
      <c r="M70" s="31"/>
    </row>
    <row r="71" spans="8:13" x14ac:dyDescent="0.3">
      <c r="H71" s="31"/>
      <c r="I71" s="31"/>
      <c r="J71" s="31"/>
      <c r="K71" s="31"/>
      <c r="L71" s="31"/>
      <c r="M71" s="31"/>
    </row>
    <row r="72" spans="8:13" x14ac:dyDescent="0.3">
      <c r="H72" s="31"/>
      <c r="I72" s="31"/>
      <c r="J72" s="31"/>
      <c r="K72" s="31"/>
      <c r="L72" s="31"/>
      <c r="M72" s="31"/>
    </row>
    <row r="73" spans="8:13" x14ac:dyDescent="0.3">
      <c r="H73" s="31"/>
      <c r="I73" s="31"/>
      <c r="J73" s="31"/>
      <c r="K73" s="31"/>
      <c r="L73" s="31"/>
      <c r="M73" s="31"/>
    </row>
    <row r="74" spans="8:13" x14ac:dyDescent="0.3">
      <c r="H74" s="31"/>
      <c r="I74" s="31"/>
      <c r="J74" s="31"/>
      <c r="K74" s="31"/>
      <c r="L74" s="31"/>
      <c r="M74" s="31"/>
    </row>
    <row r="75" spans="8:13" x14ac:dyDescent="0.3">
      <c r="H75" s="31"/>
      <c r="I75" s="31"/>
      <c r="J75" s="31"/>
      <c r="K75" s="31"/>
      <c r="L75" s="31"/>
      <c r="M75" s="31"/>
    </row>
    <row r="76" spans="8:13" x14ac:dyDescent="0.3">
      <c r="H76" s="31"/>
      <c r="I76" s="31"/>
      <c r="J76" s="31"/>
      <c r="K76" s="31"/>
      <c r="L76" s="31"/>
      <c r="M76" s="31"/>
    </row>
    <row r="77" spans="8:13" x14ac:dyDescent="0.3">
      <c r="H77" s="31"/>
      <c r="I77" s="31"/>
      <c r="J77" s="31"/>
      <c r="K77" s="31"/>
      <c r="L77" s="31"/>
      <c r="M77" s="31"/>
    </row>
    <row r="78" spans="8:13" x14ac:dyDescent="0.3">
      <c r="H78" s="31"/>
      <c r="I78" s="31"/>
      <c r="J78" s="31"/>
      <c r="K78" s="31"/>
      <c r="L78" s="31"/>
      <c r="M78" s="31"/>
    </row>
    <row r="79" spans="8:13" x14ac:dyDescent="0.3">
      <c r="H79" s="31"/>
      <c r="I79" s="31"/>
      <c r="J79" s="31"/>
      <c r="K79" s="31"/>
      <c r="L79" s="31"/>
      <c r="M79" s="31"/>
    </row>
    <row r="80" spans="8:13" x14ac:dyDescent="0.3">
      <c r="H80" s="31"/>
      <c r="I80" s="31"/>
      <c r="J80" s="31"/>
      <c r="K80" s="31"/>
      <c r="L80" s="31"/>
      <c r="M80" s="31"/>
    </row>
    <row r="81" spans="8:13" x14ac:dyDescent="0.3">
      <c r="H81" s="31"/>
      <c r="I81" s="31"/>
      <c r="J81" s="31"/>
      <c r="K81" s="31"/>
      <c r="L81" s="31"/>
      <c r="M81" s="31"/>
    </row>
    <row r="82" spans="8:13" x14ac:dyDescent="0.3">
      <c r="H82" s="31"/>
      <c r="I82" s="31"/>
      <c r="J82" s="31"/>
      <c r="K82" s="31"/>
      <c r="L82" s="31"/>
      <c r="M82" s="31"/>
    </row>
    <row r="83" spans="8:13" x14ac:dyDescent="0.3">
      <c r="H83" s="31"/>
      <c r="I83" s="31"/>
      <c r="J83" s="31"/>
      <c r="K83" s="31"/>
      <c r="L83" s="31"/>
      <c r="M83" s="31"/>
    </row>
    <row r="84" spans="8:13" x14ac:dyDescent="0.3">
      <c r="H84" s="31"/>
      <c r="I84" s="31"/>
      <c r="J84" s="31"/>
      <c r="K84" s="31"/>
      <c r="L84" s="31"/>
      <c r="M84" s="31"/>
    </row>
    <row r="85" spans="8:13" x14ac:dyDescent="0.3">
      <c r="H85" s="31"/>
      <c r="I85" s="31"/>
      <c r="J85" s="31"/>
      <c r="K85" s="31"/>
      <c r="L85" s="31"/>
      <c r="M85" s="31"/>
    </row>
    <row r="86" spans="8:13" x14ac:dyDescent="0.3">
      <c r="H86" s="31"/>
      <c r="I86" s="31"/>
      <c r="J86" s="31"/>
      <c r="K86" s="31"/>
      <c r="L86" s="31"/>
      <c r="M86" s="31"/>
    </row>
    <row r="87" spans="8:13" x14ac:dyDescent="0.3">
      <c r="H87" s="31"/>
      <c r="I87" s="31"/>
      <c r="J87" s="31"/>
      <c r="K87" s="31"/>
      <c r="L87" s="31"/>
      <c r="M87" s="31"/>
    </row>
    <row r="88" spans="8:13" x14ac:dyDescent="0.3">
      <c r="H88" s="31"/>
      <c r="I88" s="31"/>
      <c r="J88" s="31"/>
      <c r="K88" s="31"/>
      <c r="L88" s="31"/>
      <c r="M88" s="31"/>
    </row>
    <row r="89" spans="8:13" x14ac:dyDescent="0.3">
      <c r="H89" s="31"/>
      <c r="I89" s="31"/>
      <c r="J89" s="31"/>
      <c r="K89" s="31"/>
      <c r="L89" s="31"/>
      <c r="M89" s="31"/>
    </row>
    <row r="90" spans="8:13" x14ac:dyDescent="0.3">
      <c r="H90" s="31"/>
      <c r="I90" s="31"/>
      <c r="J90" s="31"/>
      <c r="K90" s="31"/>
      <c r="L90" s="31"/>
      <c r="M90" s="31"/>
    </row>
    <row r="91" spans="8:13" x14ac:dyDescent="0.3">
      <c r="H91" s="31"/>
      <c r="I91" s="31"/>
      <c r="J91" s="31"/>
      <c r="K91" s="31"/>
      <c r="L91" s="31"/>
      <c r="M91" s="31"/>
    </row>
    <row r="92" spans="8:13" x14ac:dyDescent="0.3">
      <c r="H92" s="31"/>
      <c r="I92" s="31"/>
      <c r="J92" s="31"/>
      <c r="K92" s="31"/>
      <c r="L92" s="31"/>
      <c r="M92" s="31"/>
    </row>
    <row r="93" spans="8:13" x14ac:dyDescent="0.3">
      <c r="H93" s="31"/>
      <c r="I93" s="31"/>
      <c r="J93" s="31"/>
      <c r="K93" s="31"/>
      <c r="L93" s="31"/>
      <c r="M93" s="31"/>
    </row>
    <row r="94" spans="8:13" x14ac:dyDescent="0.3">
      <c r="H94" s="31"/>
      <c r="I94" s="31"/>
      <c r="J94" s="31"/>
      <c r="K94" s="31"/>
      <c r="L94" s="31"/>
      <c r="M94" s="31"/>
    </row>
    <row r="95" spans="8:13" x14ac:dyDescent="0.3">
      <c r="H95" s="31"/>
      <c r="I95" s="31"/>
      <c r="J95" s="31"/>
      <c r="K95" s="31"/>
      <c r="L95" s="31"/>
      <c r="M95" s="3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7E8A8-9CFF-4B79-85F9-67A3247AB805}">
  <dimension ref="A1:G3"/>
  <sheetViews>
    <sheetView zoomScale="90" zoomScaleNormal="90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1.26953125" style="35" bestFit="1" customWidth="1"/>
    <col min="2" max="2" width="18.54296875" style="35" bestFit="1" customWidth="1"/>
    <col min="3" max="3" width="9" style="35" bestFit="1" customWidth="1"/>
    <col min="4" max="4" width="10.08984375" style="35" bestFit="1" customWidth="1"/>
    <col min="5" max="5" width="13.81640625" style="35" bestFit="1" customWidth="1"/>
    <col min="6" max="6" width="0" style="35" hidden="1" customWidth="1"/>
    <col min="7" max="7" width="13.81640625" style="40" bestFit="1" customWidth="1"/>
    <col min="8" max="16384" width="8.7265625" style="35"/>
  </cols>
  <sheetData>
    <row r="1" spans="1:7" x14ac:dyDescent="0.35">
      <c r="A1" s="35" t="s">
        <v>262</v>
      </c>
      <c r="B1" s="35" t="s">
        <v>0</v>
      </c>
      <c r="C1" s="35" t="s">
        <v>1</v>
      </c>
      <c r="D1" s="35" t="s">
        <v>2</v>
      </c>
      <c r="E1" s="40" t="s">
        <v>3</v>
      </c>
      <c r="F1" s="35" t="s">
        <v>325</v>
      </c>
      <c r="G1" s="40" t="s">
        <v>153</v>
      </c>
    </row>
    <row r="2" spans="1:7" x14ac:dyDescent="0.35">
      <c r="A2" s="35" t="s">
        <v>264</v>
      </c>
      <c r="B2" s="35" t="s">
        <v>18</v>
      </c>
      <c r="C2" s="41">
        <v>45658</v>
      </c>
      <c r="D2" s="35" t="s">
        <v>326</v>
      </c>
      <c r="E2" s="40">
        <v>10000000</v>
      </c>
      <c r="G2" s="40">
        <v>13000000</v>
      </c>
    </row>
    <row r="3" spans="1:7" x14ac:dyDescent="0.35">
      <c r="A3" s="35" t="s">
        <v>265</v>
      </c>
      <c r="B3" s="35" t="s">
        <v>19</v>
      </c>
      <c r="C3" s="41">
        <v>45658</v>
      </c>
      <c r="D3" s="35" t="s">
        <v>326</v>
      </c>
      <c r="E3" s="40">
        <v>7500000</v>
      </c>
      <c r="G3" s="40">
        <v>9500000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2B113-6C4C-470B-9DDC-A8127772E889}">
  <dimension ref="A1:R28"/>
  <sheetViews>
    <sheetView topLeftCell="F1" zoomScale="90" zoomScaleNormal="90" workbookViewId="0">
      <pane ySplit="1" topLeftCell="A2" activePane="bottomLeft" state="frozen"/>
      <selection activeCell="Q6" sqref="Q6"/>
      <selection pane="bottomLeft" activeCell="M11" sqref="M11"/>
    </sheetView>
  </sheetViews>
  <sheetFormatPr defaultRowHeight="13" x14ac:dyDescent="0.3"/>
  <cols>
    <col min="1" max="7" width="8.7265625" style="1"/>
    <col min="8" max="8" width="8.6328125" style="1" bestFit="1" customWidth="1"/>
    <col min="9" max="9" width="7.90625" style="1" bestFit="1" customWidth="1"/>
    <col min="10" max="11" width="21.54296875" style="1" bestFit="1" customWidth="1"/>
    <col min="12" max="12" width="17" style="1" bestFit="1" customWidth="1"/>
    <col min="13" max="13" width="8.7265625" style="1"/>
    <col min="14" max="14" width="6.6328125" style="1" customWidth="1"/>
    <col min="15" max="15" width="14" style="1" customWidth="1"/>
    <col min="16" max="18" width="9.1796875" style="1" bestFit="1" customWidth="1"/>
    <col min="19" max="16384" width="8.7265625" style="1"/>
  </cols>
  <sheetData>
    <row r="1" spans="1:18" x14ac:dyDescent="0.3">
      <c r="A1" s="1" t="s">
        <v>160</v>
      </c>
      <c r="C1" s="1" t="s">
        <v>159</v>
      </c>
      <c r="E1" s="1" t="s">
        <v>158</v>
      </c>
      <c r="H1" s="9" t="s">
        <v>188</v>
      </c>
      <c r="I1" s="9" t="s">
        <v>189</v>
      </c>
      <c r="J1" s="9" t="s">
        <v>144</v>
      </c>
      <c r="K1" s="10" t="s">
        <v>190</v>
      </c>
      <c r="L1" s="11" t="s">
        <v>191</v>
      </c>
      <c r="N1" s="42" t="s">
        <v>192</v>
      </c>
      <c r="O1" s="43"/>
      <c r="P1" s="43"/>
      <c r="Q1" s="43"/>
      <c r="R1" s="44"/>
    </row>
    <row r="2" spans="1:18" x14ac:dyDescent="0.3">
      <c r="A2" s="1" t="s">
        <v>163</v>
      </c>
      <c r="C2" s="1" t="s">
        <v>161</v>
      </c>
      <c r="E2" s="1" t="s">
        <v>145</v>
      </c>
      <c r="G2" s="1" t="str">
        <f>H2&amp;I2</f>
        <v>A2India</v>
      </c>
      <c r="H2" s="12" t="s">
        <v>193</v>
      </c>
      <c r="I2" s="12" t="s">
        <v>194</v>
      </c>
      <c r="J2" s="13" t="s">
        <v>146</v>
      </c>
      <c r="K2" s="14" t="str">
        <f>J2</f>
        <v>QA</v>
      </c>
      <c r="L2" s="8">
        <v>1474.7122252251809</v>
      </c>
      <c r="N2" s="15" t="s">
        <v>195</v>
      </c>
      <c r="O2" s="3" t="s">
        <v>196</v>
      </c>
      <c r="P2" s="3" t="s">
        <v>197</v>
      </c>
      <c r="Q2" s="3" t="s">
        <v>198</v>
      </c>
      <c r="R2" s="16" t="s">
        <v>194</v>
      </c>
    </row>
    <row r="3" spans="1:18" x14ac:dyDescent="0.3">
      <c r="A3" s="1" t="s">
        <v>164</v>
      </c>
      <c r="C3" s="1" t="s">
        <v>162</v>
      </c>
      <c r="E3" s="1" t="s">
        <v>146</v>
      </c>
      <c r="G3" s="1" t="str">
        <f t="shared" ref="G3:G15" si="0">H3&amp;I3</f>
        <v>B1India</v>
      </c>
      <c r="H3" s="12" t="s">
        <v>199</v>
      </c>
      <c r="I3" s="12" t="s">
        <v>194</v>
      </c>
      <c r="J3" s="13" t="s">
        <v>169</v>
      </c>
      <c r="K3" s="14" t="str">
        <f t="shared" ref="K3:K15" si="1">J3</f>
        <v>CX Designer</v>
      </c>
      <c r="L3" s="8">
        <v>3151.7247623942949</v>
      </c>
      <c r="N3" s="17" t="s">
        <v>200</v>
      </c>
      <c r="O3" s="18">
        <v>0</v>
      </c>
      <c r="P3" s="18">
        <v>0</v>
      </c>
      <c r="Q3" s="18">
        <v>2332.9390188164202</v>
      </c>
      <c r="R3" s="19">
        <v>1474.7122252251809</v>
      </c>
    </row>
    <row r="4" spans="1:18" x14ac:dyDescent="0.3">
      <c r="A4" s="1" t="s">
        <v>165</v>
      </c>
      <c r="E4" s="1" t="s">
        <v>147</v>
      </c>
      <c r="G4" s="1" t="str">
        <f t="shared" si="0"/>
        <v>B1US</v>
      </c>
      <c r="H4" s="12" t="s">
        <v>199</v>
      </c>
      <c r="I4" s="12" t="s">
        <v>196</v>
      </c>
      <c r="J4" s="13" t="s">
        <v>170</v>
      </c>
      <c r="K4" s="14" t="str">
        <f t="shared" si="1"/>
        <v>Google Developer</v>
      </c>
      <c r="L4" s="8">
        <v>15690.089854166519</v>
      </c>
      <c r="N4" s="17" t="s">
        <v>201</v>
      </c>
      <c r="O4" s="18">
        <v>15690.089854166519</v>
      </c>
      <c r="P4" s="18">
        <v>13812.943316136834</v>
      </c>
      <c r="Q4" s="18">
        <v>3998.6059585428648</v>
      </c>
      <c r="R4" s="19">
        <v>3151.7247623942949</v>
      </c>
    </row>
    <row r="5" spans="1:18" x14ac:dyDescent="0.3">
      <c r="A5" s="1" t="s">
        <v>166</v>
      </c>
      <c r="E5" s="1" t="s">
        <v>187</v>
      </c>
      <c r="G5" s="1" t="str">
        <f t="shared" si="0"/>
        <v>B2India</v>
      </c>
      <c r="H5" s="12" t="s">
        <v>202</v>
      </c>
      <c r="I5" s="12" t="s">
        <v>194</v>
      </c>
      <c r="J5" s="13" t="s">
        <v>180</v>
      </c>
      <c r="K5" s="14" t="str">
        <f t="shared" si="1"/>
        <v>Data Analyst</v>
      </c>
      <c r="L5" s="8">
        <v>3151.7247623942949</v>
      </c>
      <c r="N5" s="17" t="s">
        <v>203</v>
      </c>
      <c r="O5" s="18">
        <v>24372.163307834468</v>
      </c>
      <c r="P5" s="18">
        <v>18759.508857658988</v>
      </c>
      <c r="Q5" s="18">
        <v>9201.354183222209</v>
      </c>
      <c r="R5" s="19">
        <v>5716.2812190976911</v>
      </c>
    </row>
    <row r="6" spans="1:18" x14ac:dyDescent="0.3">
      <c r="A6" s="1" t="s">
        <v>167</v>
      </c>
      <c r="G6" s="1" t="str">
        <f t="shared" si="0"/>
        <v>C1India</v>
      </c>
      <c r="H6" s="12" t="s">
        <v>204</v>
      </c>
      <c r="I6" s="12" t="s">
        <v>194</v>
      </c>
      <c r="J6" s="13" t="s">
        <v>172</v>
      </c>
      <c r="K6" s="14" t="str">
        <f t="shared" si="1"/>
        <v>BI Dashboard UI Developer</v>
      </c>
      <c r="L6" s="8">
        <v>5716.2812190976911</v>
      </c>
      <c r="N6" s="17" t="s">
        <v>205</v>
      </c>
      <c r="O6" s="18">
        <v>34733.886102105265</v>
      </c>
      <c r="P6" s="18">
        <v>31563.527860536182</v>
      </c>
      <c r="Q6" s="18">
        <v>16292.776011271362</v>
      </c>
      <c r="R6" s="19">
        <v>10852.347890782839</v>
      </c>
    </row>
    <row r="7" spans="1:18" ht="13.5" thickBot="1" x14ac:dyDescent="0.35">
      <c r="A7" s="1" t="s">
        <v>168</v>
      </c>
      <c r="G7" s="1" t="str">
        <f t="shared" si="0"/>
        <v>C1US</v>
      </c>
      <c r="H7" s="12" t="s">
        <v>204</v>
      </c>
      <c r="I7" s="12" t="s">
        <v>196</v>
      </c>
      <c r="J7" s="13" t="s">
        <v>146</v>
      </c>
      <c r="K7" s="14" t="str">
        <f t="shared" si="1"/>
        <v>QA</v>
      </c>
      <c r="L7" s="8">
        <v>24372.163307834468</v>
      </c>
      <c r="N7" s="20" t="s">
        <v>206</v>
      </c>
      <c r="O7" s="21">
        <v>38837.378958094479</v>
      </c>
      <c r="P7" s="21">
        <v>0</v>
      </c>
      <c r="Q7" s="21">
        <v>21954.902829030791</v>
      </c>
      <c r="R7" s="22">
        <v>14237.976131708076</v>
      </c>
    </row>
    <row r="8" spans="1:18" x14ac:dyDescent="0.3">
      <c r="A8" s="1" t="s">
        <v>169</v>
      </c>
      <c r="G8" s="1" t="str">
        <f t="shared" si="0"/>
        <v>C2India</v>
      </c>
      <c r="H8" s="12" t="s">
        <v>207</v>
      </c>
      <c r="I8" s="12" t="s">
        <v>194</v>
      </c>
      <c r="J8" s="13" t="s">
        <v>167</v>
      </c>
      <c r="K8" s="14" t="str">
        <f t="shared" si="1"/>
        <v>Business Analyst</v>
      </c>
      <c r="L8" s="8">
        <v>5716.2812190976911</v>
      </c>
    </row>
    <row r="9" spans="1:18" ht="13.5" thickBot="1" x14ac:dyDescent="0.35">
      <c r="A9" s="1" t="s">
        <v>170</v>
      </c>
      <c r="G9" s="1" t="str">
        <f t="shared" si="0"/>
        <v>D1India</v>
      </c>
      <c r="H9" s="12" t="s">
        <v>208</v>
      </c>
      <c r="I9" s="12" t="s">
        <v>194</v>
      </c>
      <c r="J9" s="13" t="s">
        <v>171</v>
      </c>
      <c r="K9" s="14" t="str">
        <f t="shared" si="1"/>
        <v>BI Dashboard Lead</v>
      </c>
      <c r="L9" s="8">
        <v>10852.347890782839</v>
      </c>
    </row>
    <row r="10" spans="1:18" x14ac:dyDescent="0.3">
      <c r="A10" s="1" t="s">
        <v>146</v>
      </c>
      <c r="G10" s="1" t="str">
        <f t="shared" si="0"/>
        <v>D1PHP</v>
      </c>
      <c r="H10" s="12" t="s">
        <v>208</v>
      </c>
      <c r="I10" s="12" t="s">
        <v>198</v>
      </c>
      <c r="J10" s="13" t="s">
        <v>166</v>
      </c>
      <c r="K10" s="14" t="str">
        <f t="shared" si="1"/>
        <v>Project Manager</v>
      </c>
      <c r="L10" s="8">
        <v>16292.77601127136</v>
      </c>
      <c r="N10" s="42" t="s">
        <v>209</v>
      </c>
      <c r="O10" s="44"/>
    </row>
    <row r="11" spans="1:18" x14ac:dyDescent="0.3">
      <c r="A11" s="1" t="s">
        <v>171</v>
      </c>
      <c r="G11" s="1" t="str">
        <f t="shared" si="0"/>
        <v>D1US</v>
      </c>
      <c r="H11" s="12" t="s">
        <v>208</v>
      </c>
      <c r="I11" s="12" t="s">
        <v>196</v>
      </c>
      <c r="J11" s="13" t="s">
        <v>168</v>
      </c>
      <c r="K11" s="14" t="str">
        <f t="shared" si="1"/>
        <v>CX Design Lead</v>
      </c>
      <c r="L11" s="8">
        <v>34733.886102105265</v>
      </c>
      <c r="N11" s="15" t="s">
        <v>195</v>
      </c>
      <c r="O11" s="16" t="s">
        <v>194</v>
      </c>
    </row>
    <row r="12" spans="1:18" x14ac:dyDescent="0.3">
      <c r="A12" s="1" t="s">
        <v>172</v>
      </c>
      <c r="G12" s="1" t="str">
        <f t="shared" si="0"/>
        <v>D2India</v>
      </c>
      <c r="H12" s="12" t="s">
        <v>210</v>
      </c>
      <c r="I12" s="12" t="s">
        <v>194</v>
      </c>
      <c r="J12" s="13" t="s">
        <v>179</v>
      </c>
      <c r="K12" s="14" t="str">
        <f t="shared" si="1"/>
        <v>CI Optimization Lead</v>
      </c>
      <c r="L12" s="8">
        <v>10852.347890782839</v>
      </c>
      <c r="N12" s="17" t="s">
        <v>200</v>
      </c>
      <c r="O12" s="19">
        <v>0</v>
      </c>
    </row>
    <row r="13" spans="1:18" x14ac:dyDescent="0.3">
      <c r="A13" s="1" t="s">
        <v>173</v>
      </c>
      <c r="G13" s="1" t="str">
        <f t="shared" si="0"/>
        <v>D2US</v>
      </c>
      <c r="H13" s="12" t="s">
        <v>210</v>
      </c>
      <c r="I13" s="12" t="s">
        <v>196</v>
      </c>
      <c r="J13" s="13" t="s">
        <v>183</v>
      </c>
      <c r="K13" s="14" t="str">
        <f t="shared" si="1"/>
        <v>Program Lead</v>
      </c>
      <c r="L13" s="8">
        <v>34733.886102105265</v>
      </c>
      <c r="N13" s="17" t="s">
        <v>201</v>
      </c>
      <c r="O13" s="19">
        <v>0</v>
      </c>
    </row>
    <row r="14" spans="1:18" x14ac:dyDescent="0.3">
      <c r="A14" s="1" t="s">
        <v>174</v>
      </c>
      <c r="G14" s="1" t="str">
        <f t="shared" si="0"/>
        <v>E1PHP</v>
      </c>
      <c r="H14" s="12" t="s">
        <v>211</v>
      </c>
      <c r="I14" s="12" t="s">
        <v>198</v>
      </c>
      <c r="J14" s="13" t="s">
        <v>212</v>
      </c>
      <c r="K14" s="14" t="str">
        <f t="shared" si="1"/>
        <v>Overall Program Lead</v>
      </c>
      <c r="L14" s="8">
        <v>21954.902829030791</v>
      </c>
      <c r="N14" s="17" t="s">
        <v>203</v>
      </c>
      <c r="O14" s="19">
        <v>0</v>
      </c>
    </row>
    <row r="15" spans="1:18" x14ac:dyDescent="0.3">
      <c r="A15" s="1" t="s">
        <v>175</v>
      </c>
      <c r="G15" s="1" t="str">
        <f t="shared" si="0"/>
        <v>E1US</v>
      </c>
      <c r="H15" s="12" t="s">
        <v>211</v>
      </c>
      <c r="I15" s="12" t="s">
        <v>196</v>
      </c>
      <c r="J15" s="13" t="s">
        <v>213</v>
      </c>
      <c r="K15" s="14" t="str">
        <f t="shared" si="1"/>
        <v>Engagement Lead</v>
      </c>
      <c r="L15" s="8">
        <v>38837.378958094479</v>
      </c>
      <c r="N15" s="17" t="s">
        <v>205</v>
      </c>
      <c r="O15" s="19">
        <v>0</v>
      </c>
    </row>
    <row r="16" spans="1:18" ht="13.5" thickBot="1" x14ac:dyDescent="0.35">
      <c r="A16" s="1" t="s">
        <v>176</v>
      </c>
      <c r="N16" s="20" t="s">
        <v>206</v>
      </c>
      <c r="O16" s="22">
        <v>0</v>
      </c>
    </row>
    <row r="17" spans="1:10" x14ac:dyDescent="0.3">
      <c r="A17" s="1" t="s">
        <v>177</v>
      </c>
    </row>
    <row r="18" spans="1:10" x14ac:dyDescent="0.3">
      <c r="A18" s="1" t="s">
        <v>178</v>
      </c>
      <c r="I18" s="23" t="s">
        <v>189</v>
      </c>
      <c r="J18" s="23" t="s">
        <v>195</v>
      </c>
    </row>
    <row r="19" spans="1:10" x14ac:dyDescent="0.3">
      <c r="A19" s="1" t="s">
        <v>179</v>
      </c>
      <c r="I19" s="1" t="s">
        <v>196</v>
      </c>
      <c r="J19" s="1" t="s">
        <v>214</v>
      </c>
    </row>
    <row r="20" spans="1:10" x14ac:dyDescent="0.3">
      <c r="A20" s="1" t="s">
        <v>180</v>
      </c>
      <c r="I20" s="1" t="s">
        <v>197</v>
      </c>
      <c r="J20" s="1" t="s">
        <v>193</v>
      </c>
    </row>
    <row r="21" spans="1:10" x14ac:dyDescent="0.3">
      <c r="A21" s="1" t="s">
        <v>181</v>
      </c>
      <c r="I21" s="1" t="s">
        <v>198</v>
      </c>
      <c r="J21" s="1" t="s">
        <v>199</v>
      </c>
    </row>
    <row r="22" spans="1:10" x14ac:dyDescent="0.3">
      <c r="A22" s="1" t="s">
        <v>182</v>
      </c>
      <c r="I22" s="1" t="s">
        <v>194</v>
      </c>
      <c r="J22" s="1" t="s">
        <v>202</v>
      </c>
    </row>
    <row r="23" spans="1:10" x14ac:dyDescent="0.3">
      <c r="A23" s="1" t="s">
        <v>183</v>
      </c>
      <c r="J23" s="1" t="s">
        <v>204</v>
      </c>
    </row>
    <row r="24" spans="1:10" x14ac:dyDescent="0.3">
      <c r="A24" s="1" t="s">
        <v>184</v>
      </c>
      <c r="J24" s="1" t="s">
        <v>207</v>
      </c>
    </row>
    <row r="25" spans="1:10" x14ac:dyDescent="0.3">
      <c r="A25" s="1" t="s">
        <v>185</v>
      </c>
      <c r="J25" s="1" t="s">
        <v>208</v>
      </c>
    </row>
    <row r="26" spans="1:10" x14ac:dyDescent="0.3">
      <c r="A26" s="1" t="s">
        <v>186</v>
      </c>
      <c r="J26" s="1" t="s">
        <v>210</v>
      </c>
    </row>
    <row r="27" spans="1:10" x14ac:dyDescent="0.3">
      <c r="J27" s="1" t="s">
        <v>211</v>
      </c>
    </row>
    <row r="28" spans="1:10" x14ac:dyDescent="0.3">
      <c r="J28" s="1" t="s">
        <v>215</v>
      </c>
    </row>
  </sheetData>
  <mergeCells count="2">
    <mergeCell ref="N1:R1"/>
    <mergeCell ref="N10:O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BE1BC-CCEF-4791-A128-D2B74D4A6FFA}">
  <sheetPr>
    <tabColor rgb="FFFFFF00"/>
  </sheetPr>
  <dimension ref="A1:K9"/>
  <sheetViews>
    <sheetView zoomScale="90" zoomScaleNormal="90" workbookViewId="0">
      <pane ySplit="1" topLeftCell="A2" activePane="bottomLeft" state="frozen"/>
      <selection pane="bottomLeft" sqref="A1:XFD1048576"/>
    </sheetView>
  </sheetViews>
  <sheetFormatPr defaultRowHeight="14.5" x14ac:dyDescent="0.35"/>
  <cols>
    <col min="1" max="1" width="10.7265625" bestFit="1" customWidth="1"/>
    <col min="2" max="2" width="17.54296875" bestFit="1" customWidth="1"/>
    <col min="3" max="3" width="6.1796875" bestFit="1" customWidth="1"/>
    <col min="4" max="4" width="15.26953125" bestFit="1" customWidth="1"/>
    <col min="5" max="5" width="14.54296875" bestFit="1" customWidth="1"/>
    <col min="6" max="6" width="14.26953125" bestFit="1" customWidth="1"/>
    <col min="7" max="7" width="13.453125" bestFit="1" customWidth="1"/>
    <col min="8" max="8" width="4.81640625" bestFit="1" customWidth="1"/>
    <col min="9" max="9" width="7.36328125" bestFit="1" customWidth="1"/>
    <col min="10" max="10" width="7.453125" bestFit="1" customWidth="1"/>
    <col min="11" max="11" width="9.90625" bestFit="1" customWidth="1"/>
  </cols>
  <sheetData>
    <row r="1" spans="1:11" x14ac:dyDescent="0.35">
      <c r="A1" s="33" t="s">
        <v>262</v>
      </c>
      <c r="B1" s="33" t="s">
        <v>0</v>
      </c>
      <c r="C1" s="33" t="s">
        <v>327</v>
      </c>
      <c r="D1" s="33" t="s">
        <v>328</v>
      </c>
      <c r="E1" s="33" t="s">
        <v>329</v>
      </c>
      <c r="F1" s="33" t="s">
        <v>144</v>
      </c>
      <c r="G1" s="3" t="s">
        <v>159</v>
      </c>
      <c r="H1" s="3" t="s">
        <v>195</v>
      </c>
      <c r="I1" s="3" t="s">
        <v>314</v>
      </c>
      <c r="J1" s="3" t="s">
        <v>189</v>
      </c>
      <c r="K1" s="33" t="s">
        <v>330</v>
      </c>
    </row>
    <row r="2" spans="1:11" x14ac:dyDescent="0.35">
      <c r="A2" s="1" t="s">
        <v>264</v>
      </c>
      <c r="B2" s="1" t="s">
        <v>18</v>
      </c>
      <c r="C2" s="27">
        <v>46048</v>
      </c>
      <c r="D2" s="1" t="s">
        <v>273</v>
      </c>
      <c r="E2" s="1" t="s">
        <v>217</v>
      </c>
      <c r="F2" s="1" t="s">
        <v>146</v>
      </c>
      <c r="G2" s="1" t="s">
        <v>161</v>
      </c>
      <c r="H2" s="1" t="s">
        <v>193</v>
      </c>
      <c r="I2" s="1" t="s">
        <v>200</v>
      </c>
      <c r="J2" s="1" t="s">
        <v>194</v>
      </c>
      <c r="K2" s="1">
        <v>25</v>
      </c>
    </row>
    <row r="3" spans="1:11" x14ac:dyDescent="0.35">
      <c r="A3" s="1" t="s">
        <v>264</v>
      </c>
      <c r="B3" s="1" t="s">
        <v>18</v>
      </c>
      <c r="C3" s="27">
        <v>46048</v>
      </c>
      <c r="D3" s="1" t="s">
        <v>274</v>
      </c>
      <c r="E3" s="1" t="s">
        <v>218</v>
      </c>
      <c r="F3" s="1">
        <v>0</v>
      </c>
      <c r="G3" s="1" t="s">
        <v>161</v>
      </c>
      <c r="H3" s="1" t="s">
        <v>210</v>
      </c>
      <c r="I3" s="1" t="s">
        <v>205</v>
      </c>
      <c r="J3" s="1" t="s">
        <v>194</v>
      </c>
      <c r="K3" s="1">
        <v>100</v>
      </c>
    </row>
    <row r="4" spans="1:11" x14ac:dyDescent="0.35">
      <c r="A4" s="1" t="s">
        <v>264</v>
      </c>
      <c r="B4" s="1" t="s">
        <v>18</v>
      </c>
      <c r="C4" s="27">
        <v>46048</v>
      </c>
      <c r="D4" s="1" t="s">
        <v>275</v>
      </c>
      <c r="E4" s="1" t="s">
        <v>219</v>
      </c>
      <c r="F4" s="1" t="s">
        <v>169</v>
      </c>
      <c r="G4" s="1" t="s">
        <v>161</v>
      </c>
      <c r="H4" s="1" t="s">
        <v>207</v>
      </c>
      <c r="I4" s="1" t="s">
        <v>203</v>
      </c>
      <c r="J4" s="1" t="s">
        <v>194</v>
      </c>
      <c r="K4" s="1">
        <v>50</v>
      </c>
    </row>
    <row r="5" spans="1:11" x14ac:dyDescent="0.35">
      <c r="A5" s="1" t="s">
        <v>265</v>
      </c>
      <c r="B5" s="1" t="s">
        <v>19</v>
      </c>
      <c r="C5" s="27">
        <v>46048</v>
      </c>
      <c r="D5" s="1">
        <v>10125</v>
      </c>
      <c r="E5" s="1" t="s">
        <v>220</v>
      </c>
      <c r="F5" s="1" t="s">
        <v>169</v>
      </c>
      <c r="G5" s="1" t="s">
        <v>161</v>
      </c>
      <c r="H5" s="1" t="s">
        <v>204</v>
      </c>
      <c r="I5" s="1" t="s">
        <v>203</v>
      </c>
      <c r="J5" s="1" t="s">
        <v>194</v>
      </c>
      <c r="K5" s="1">
        <v>100</v>
      </c>
    </row>
    <row r="6" spans="1:11" x14ac:dyDescent="0.35">
      <c r="A6" s="1" t="s">
        <v>265</v>
      </c>
      <c r="B6" s="1" t="s">
        <v>19</v>
      </c>
      <c r="C6" s="27">
        <v>46048</v>
      </c>
      <c r="D6" s="1" t="s">
        <v>276</v>
      </c>
      <c r="E6" s="1" t="s">
        <v>221</v>
      </c>
      <c r="F6" s="1" t="s">
        <v>169</v>
      </c>
      <c r="G6" s="1" t="s">
        <v>161</v>
      </c>
      <c r="H6" s="1" t="s">
        <v>199</v>
      </c>
      <c r="I6" s="1" t="s">
        <v>201</v>
      </c>
      <c r="J6" s="1" t="s">
        <v>194</v>
      </c>
      <c r="K6" s="1">
        <v>50</v>
      </c>
    </row>
    <row r="7" spans="1:11" x14ac:dyDescent="0.35">
      <c r="A7" s="1" t="s">
        <v>264</v>
      </c>
      <c r="B7" s="1" t="s">
        <v>18</v>
      </c>
      <c r="C7" s="27">
        <v>46048</v>
      </c>
      <c r="D7" s="1" t="s">
        <v>277</v>
      </c>
      <c r="E7" s="1" t="s">
        <v>222</v>
      </c>
      <c r="F7" s="1" t="s">
        <v>165</v>
      </c>
      <c r="G7" s="1" t="s">
        <v>161</v>
      </c>
      <c r="H7" s="1" t="s">
        <v>204</v>
      </c>
      <c r="I7" s="1" t="s">
        <v>203</v>
      </c>
      <c r="J7" s="1" t="s">
        <v>194</v>
      </c>
      <c r="K7" s="1">
        <v>75</v>
      </c>
    </row>
    <row r="8" spans="1:11" x14ac:dyDescent="0.35">
      <c r="A8" s="1" t="s">
        <v>264</v>
      </c>
      <c r="B8" s="1" t="s">
        <v>18</v>
      </c>
      <c r="C8" s="27">
        <v>46048</v>
      </c>
      <c r="D8" s="1" t="s">
        <v>278</v>
      </c>
      <c r="E8" s="1" t="s">
        <v>223</v>
      </c>
      <c r="F8" s="1" t="s">
        <v>177</v>
      </c>
      <c r="G8" s="1" t="s">
        <v>161</v>
      </c>
      <c r="H8" s="1" t="s">
        <v>207</v>
      </c>
      <c r="I8" s="1" t="s">
        <v>203</v>
      </c>
      <c r="J8" s="1" t="s">
        <v>194</v>
      </c>
      <c r="K8" s="1">
        <v>10</v>
      </c>
    </row>
    <row r="9" spans="1:11" x14ac:dyDescent="0.35">
      <c r="A9" s="1" t="s">
        <v>264</v>
      </c>
      <c r="B9" s="1" t="s">
        <v>18</v>
      </c>
      <c r="C9" s="27">
        <v>46048</v>
      </c>
      <c r="D9" s="1" t="s">
        <v>279</v>
      </c>
      <c r="E9" s="1" t="s">
        <v>224</v>
      </c>
      <c r="F9" s="1" t="s">
        <v>165</v>
      </c>
      <c r="G9" s="1" t="s">
        <v>161</v>
      </c>
      <c r="H9" s="1" t="s">
        <v>204</v>
      </c>
      <c r="I9" s="1" t="s">
        <v>203</v>
      </c>
      <c r="J9" s="1" t="s">
        <v>194</v>
      </c>
      <c r="K9" s="1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15D40-90E9-4ED1-8F8F-CA6927C85888}">
  <sheetPr>
    <tabColor rgb="FFFFFF00"/>
  </sheetPr>
  <dimension ref="A1:X46"/>
  <sheetViews>
    <sheetView tabSelected="1" topLeftCell="B1" zoomScale="90" zoomScaleNormal="90" workbookViewId="0">
      <pane ySplit="1" topLeftCell="A2" activePane="bottomLeft" state="frozen"/>
      <selection activeCell="K2" sqref="K2"/>
      <selection pane="bottomLeft" activeCell="B2" sqref="B2"/>
    </sheetView>
  </sheetViews>
  <sheetFormatPr defaultRowHeight="13" x14ac:dyDescent="0.3"/>
  <cols>
    <col min="1" max="1" width="27.36328125" style="1" hidden="1" customWidth="1"/>
    <col min="2" max="2" width="13.1796875" style="1" bestFit="1" customWidth="1"/>
    <col min="3" max="3" width="17.54296875" style="1" bestFit="1" customWidth="1"/>
    <col min="4" max="4" width="16.54296875" style="1" bestFit="1" customWidth="1"/>
    <col min="5" max="5" width="22.7265625" style="1" bestFit="1" customWidth="1"/>
    <col min="6" max="6" width="15.90625" style="1" bestFit="1" customWidth="1"/>
    <col min="7" max="7" width="7.36328125" style="1" bestFit="1" customWidth="1"/>
    <col min="8" max="8" width="2" style="1" hidden="1" customWidth="1"/>
    <col min="9" max="9" width="10" style="1" bestFit="1" customWidth="1"/>
    <col min="10" max="10" width="21.54296875" style="1" bestFit="1" customWidth="1"/>
    <col min="11" max="11" width="15.36328125" style="1" bestFit="1" customWidth="1"/>
    <col min="12" max="12" width="10.90625" style="1" bestFit="1" customWidth="1"/>
    <col min="13" max="13" width="11.08984375" style="1" bestFit="1" customWidth="1"/>
    <col min="14" max="14" width="11.54296875" style="1" bestFit="1" customWidth="1"/>
    <col min="15" max="15" width="11.08984375" style="1" bestFit="1" customWidth="1"/>
    <col min="16" max="16" width="11.81640625" style="1" bestFit="1" customWidth="1"/>
    <col min="17" max="17" width="11" style="1" bestFit="1" customWidth="1"/>
    <col min="18" max="18" width="10.36328125" style="1" bestFit="1" customWidth="1"/>
    <col min="19" max="19" width="11.36328125" style="1" bestFit="1" customWidth="1"/>
    <col min="20" max="20" width="11.1796875" style="1" bestFit="1" customWidth="1"/>
    <col min="21" max="21" width="11" style="1" bestFit="1" customWidth="1"/>
    <col min="22" max="22" width="11.54296875" style="1" bestFit="1" customWidth="1"/>
    <col min="23" max="23" width="11.1796875" style="1" bestFit="1" customWidth="1"/>
    <col min="24" max="24" width="12.1796875" style="8" bestFit="1" customWidth="1"/>
    <col min="25" max="16384" width="8.7265625" style="1"/>
  </cols>
  <sheetData>
    <row r="1" spans="1:24" x14ac:dyDescent="0.3">
      <c r="A1" s="1" t="s">
        <v>313</v>
      </c>
      <c r="B1" s="3" t="s">
        <v>262</v>
      </c>
      <c r="C1" s="3" t="s">
        <v>0</v>
      </c>
      <c r="D1" s="3" t="s">
        <v>263</v>
      </c>
      <c r="E1" s="3" t="s">
        <v>136</v>
      </c>
      <c r="F1" s="3" t="s">
        <v>159</v>
      </c>
      <c r="G1" s="3" t="s">
        <v>195</v>
      </c>
      <c r="H1" s="3" t="s">
        <v>314</v>
      </c>
      <c r="I1" s="3" t="s">
        <v>189</v>
      </c>
      <c r="J1" s="3" t="s">
        <v>144</v>
      </c>
      <c r="K1" s="3" t="s">
        <v>216</v>
      </c>
      <c r="L1" s="26">
        <v>46048</v>
      </c>
      <c r="M1" s="26">
        <v>46079</v>
      </c>
      <c r="N1" s="26">
        <v>46107</v>
      </c>
      <c r="O1" s="26">
        <v>46138</v>
      </c>
      <c r="P1" s="26">
        <v>46168</v>
      </c>
      <c r="Q1" s="26">
        <v>46199</v>
      </c>
      <c r="R1" s="26">
        <v>46229</v>
      </c>
      <c r="S1" s="26">
        <v>46260</v>
      </c>
      <c r="T1" s="26">
        <v>46291</v>
      </c>
      <c r="U1" s="26">
        <v>46321</v>
      </c>
      <c r="V1" s="26">
        <v>46352</v>
      </c>
      <c r="W1" s="26">
        <v>46382</v>
      </c>
      <c r="X1" s="24" t="s">
        <v>7</v>
      </c>
    </row>
    <row r="2" spans="1:24" x14ac:dyDescent="0.3">
      <c r="A2" s="1" t="str">
        <f>J2&amp;I2&amp;G2</f>
        <v>QAIndiaA2</v>
      </c>
      <c r="B2" s="1" t="s">
        <v>264</v>
      </c>
      <c r="C2" s="1" t="s">
        <v>18</v>
      </c>
      <c r="D2" s="1" t="s">
        <v>273</v>
      </c>
      <c r="E2" s="1" t="s">
        <v>217</v>
      </c>
      <c r="F2" s="1" t="s">
        <v>161</v>
      </c>
      <c r="G2" s="1" t="s">
        <v>193</v>
      </c>
      <c r="H2" s="1" t="str">
        <f>LEFT(G2,1)</f>
        <v>A</v>
      </c>
      <c r="I2" s="1" t="s">
        <v>194</v>
      </c>
      <c r="J2" s="1" t="s">
        <v>146</v>
      </c>
      <c r="K2" s="8">
        <f>IF(F2="Contractor",VLOOKUP(H2,'Resource Rate Card'!$N$10:$O$16,2,0),IF(I2="India",VLOOKUP(H2,'Resource Rate Card'!$N$1:$R$7,5,0),IF(I2="PHP",VLOOKUP(H2,'Resource Rate Card'!$N$1:$R$7,4,0),IF(I2="UK",VLOOKUP(H2,'Resource Rate Card'!$N$1:$R$7,3,0),IF(I2="US",VLOOKUP(H2,'Resource Rate Card'!$N$1:$R$7,2,0))))))</f>
        <v>1474.7122252251809</v>
      </c>
      <c r="L2" s="25">
        <v>0.25</v>
      </c>
      <c r="M2" s="25">
        <v>0.25</v>
      </c>
      <c r="N2" s="25">
        <v>0</v>
      </c>
      <c r="O2" s="25">
        <v>0</v>
      </c>
      <c r="P2" s="25">
        <v>0</v>
      </c>
      <c r="Q2" s="25">
        <v>0</v>
      </c>
      <c r="R2" s="25">
        <v>0</v>
      </c>
      <c r="S2" s="25">
        <v>0</v>
      </c>
      <c r="T2" s="25">
        <v>0</v>
      </c>
      <c r="U2" s="25">
        <v>0</v>
      </c>
      <c r="V2" s="25">
        <v>0</v>
      </c>
      <c r="W2" s="25">
        <v>0</v>
      </c>
      <c r="X2" s="8">
        <f>(K2*L2)+(K2*M2)+(K2*N2)+(K2*O2)+(K2*P2)+(K2*Q2)+(K2*R2)+(K2*S2)+(K2*T2)+(K2*U2)+(K2*V2)+(K2*W2)</f>
        <v>737.35611261259044</v>
      </c>
    </row>
    <row r="3" spans="1:24" x14ac:dyDescent="0.3">
      <c r="A3" s="1" t="str">
        <f t="shared" ref="A3:A46" si="0">J3&amp;I3&amp;G3</f>
        <v>0IndiaD2</v>
      </c>
      <c r="B3" s="1" t="s">
        <v>264</v>
      </c>
      <c r="C3" s="1" t="s">
        <v>18</v>
      </c>
      <c r="D3" s="1" t="s">
        <v>274</v>
      </c>
      <c r="E3" s="1" t="s">
        <v>218</v>
      </c>
      <c r="F3" s="1" t="s">
        <v>161</v>
      </c>
      <c r="G3" s="1" t="s">
        <v>210</v>
      </c>
      <c r="H3" s="1" t="str">
        <f t="shared" ref="H3:H46" si="1">LEFT(G3,1)</f>
        <v>D</v>
      </c>
      <c r="I3" s="1" t="s">
        <v>194</v>
      </c>
      <c r="J3" s="1">
        <v>0</v>
      </c>
      <c r="K3" s="8">
        <f>IF(F3="Contractor",VLOOKUP(H3,'Resource Rate Card'!$N$10:$O$16,2,0),IF(I3="India",VLOOKUP(H3,'Resource Rate Card'!$N$1:$R$7,5,0),IF(I3="PHP",VLOOKUP(H3,'Resource Rate Card'!$N$1:$R$7,4,0),IF(I3="UK",VLOOKUP(H3,'Resource Rate Card'!$N$1:$R$7,3,0),IF(I3="US",VLOOKUP(H3,'Resource Rate Card'!$N$1:$R$7,2,0))))))</f>
        <v>10852.347890782839</v>
      </c>
      <c r="L3" s="25">
        <v>1</v>
      </c>
      <c r="M3" s="25">
        <v>1</v>
      </c>
      <c r="N3" s="25">
        <v>0</v>
      </c>
      <c r="O3" s="25">
        <v>0</v>
      </c>
      <c r="P3" s="25">
        <v>0</v>
      </c>
      <c r="Q3" s="25">
        <v>0</v>
      </c>
      <c r="R3" s="25">
        <v>0</v>
      </c>
      <c r="S3" s="25">
        <v>0</v>
      </c>
      <c r="T3" s="25">
        <v>0</v>
      </c>
      <c r="U3" s="25">
        <v>0</v>
      </c>
      <c r="V3" s="25">
        <v>0</v>
      </c>
      <c r="W3" s="25">
        <v>0</v>
      </c>
      <c r="X3" s="8">
        <f t="shared" ref="X3:X46" si="2">(K3*L3)+(K3*M3)+(K3*N3)+(K3*O3)+(K3*P3)+(K3*Q3)+(K3*R3)+(K3*S3)+(K3*T3)+(K3*U3)+(K3*V3)+(K3*W3)</f>
        <v>21704.695781565679</v>
      </c>
    </row>
    <row r="4" spans="1:24" x14ac:dyDescent="0.3">
      <c r="A4" s="1" t="str">
        <f t="shared" si="0"/>
        <v>CX DesignerIndiaC2</v>
      </c>
      <c r="B4" s="1" t="s">
        <v>264</v>
      </c>
      <c r="C4" s="1" t="s">
        <v>18</v>
      </c>
      <c r="D4" s="1" t="s">
        <v>275</v>
      </c>
      <c r="E4" s="1" t="s">
        <v>219</v>
      </c>
      <c r="F4" s="1" t="s">
        <v>161</v>
      </c>
      <c r="G4" s="1" t="s">
        <v>207</v>
      </c>
      <c r="H4" s="1" t="str">
        <f t="shared" si="1"/>
        <v>C</v>
      </c>
      <c r="I4" s="1" t="s">
        <v>194</v>
      </c>
      <c r="J4" s="1" t="s">
        <v>169</v>
      </c>
      <c r="K4" s="8">
        <f>IF(F4="Contractor",VLOOKUP(H4,'Resource Rate Card'!$N$10:$O$16,2,0),IF(I4="India",VLOOKUP(H4,'Resource Rate Card'!$N$1:$R$7,5,0),IF(I4="PHP",VLOOKUP(H4,'Resource Rate Card'!$N$1:$R$7,4,0),IF(I4="UK",VLOOKUP(H4,'Resource Rate Card'!$N$1:$R$7,3,0),IF(I4="US",VLOOKUP(H4,'Resource Rate Card'!$N$1:$R$7,2,0))))))</f>
        <v>5716.2812190976911</v>
      </c>
      <c r="L4" s="25">
        <v>1</v>
      </c>
      <c r="M4" s="25">
        <v>1</v>
      </c>
      <c r="N4" s="25">
        <v>0</v>
      </c>
      <c r="O4" s="25">
        <v>0</v>
      </c>
      <c r="P4" s="25">
        <v>0</v>
      </c>
      <c r="Q4" s="25">
        <v>0</v>
      </c>
      <c r="R4" s="25">
        <v>0</v>
      </c>
      <c r="S4" s="25">
        <v>0</v>
      </c>
      <c r="T4" s="25">
        <v>0</v>
      </c>
      <c r="U4" s="25">
        <v>0</v>
      </c>
      <c r="V4" s="25">
        <v>0</v>
      </c>
      <c r="W4" s="25">
        <v>0</v>
      </c>
      <c r="X4" s="8">
        <f t="shared" si="2"/>
        <v>11432.562438195382</v>
      </c>
    </row>
    <row r="5" spans="1:24" x14ac:dyDescent="0.3">
      <c r="A5" s="1" t="str">
        <f t="shared" si="0"/>
        <v>CX DesignerIndiaC1</v>
      </c>
      <c r="B5" s="1" t="s">
        <v>265</v>
      </c>
      <c r="C5" s="1" t="s">
        <v>19</v>
      </c>
      <c r="D5" s="1">
        <v>10125</v>
      </c>
      <c r="E5" s="1" t="s">
        <v>220</v>
      </c>
      <c r="F5" s="1" t="s">
        <v>161</v>
      </c>
      <c r="G5" s="1" t="s">
        <v>204</v>
      </c>
      <c r="H5" s="1" t="str">
        <f t="shared" si="1"/>
        <v>C</v>
      </c>
      <c r="I5" s="1" t="s">
        <v>194</v>
      </c>
      <c r="J5" s="1" t="s">
        <v>169</v>
      </c>
      <c r="K5" s="8">
        <f>IF(F5="Contractor",VLOOKUP(H5,'Resource Rate Card'!$N$10:$O$16,2,0),IF(I5="India",VLOOKUP(H5,'Resource Rate Card'!$N$1:$R$7,5,0),IF(I5="PHP",VLOOKUP(H5,'Resource Rate Card'!$N$1:$R$7,4,0),IF(I5="UK",VLOOKUP(H5,'Resource Rate Card'!$N$1:$R$7,3,0),IF(I5="US",VLOOKUP(H5,'Resource Rate Card'!$N$1:$R$7,2,0))))))</f>
        <v>5716.2812190976911</v>
      </c>
      <c r="L5" s="25">
        <v>1</v>
      </c>
      <c r="M5" s="25">
        <v>1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0</v>
      </c>
      <c r="U5" s="25">
        <v>0</v>
      </c>
      <c r="V5" s="25">
        <v>0</v>
      </c>
      <c r="W5" s="25">
        <v>0</v>
      </c>
      <c r="X5" s="8">
        <f t="shared" si="2"/>
        <v>11432.562438195382</v>
      </c>
    </row>
    <row r="6" spans="1:24" x14ac:dyDescent="0.3">
      <c r="A6" s="1" t="str">
        <f t="shared" si="0"/>
        <v>CX DesignerIndiaB1</v>
      </c>
      <c r="B6" s="1" t="s">
        <v>265</v>
      </c>
      <c r="C6" s="1" t="s">
        <v>19</v>
      </c>
      <c r="D6" s="1" t="s">
        <v>276</v>
      </c>
      <c r="E6" s="1" t="s">
        <v>221</v>
      </c>
      <c r="F6" s="1" t="s">
        <v>161</v>
      </c>
      <c r="G6" s="1" t="s">
        <v>199</v>
      </c>
      <c r="H6" s="1" t="str">
        <f t="shared" si="1"/>
        <v>B</v>
      </c>
      <c r="I6" s="1" t="s">
        <v>194</v>
      </c>
      <c r="J6" s="1" t="s">
        <v>169</v>
      </c>
      <c r="K6" s="8">
        <f>IF(F6="Contractor",VLOOKUP(H6,'Resource Rate Card'!$N$10:$O$16,2,0),IF(I6="India",VLOOKUP(H6,'Resource Rate Card'!$N$1:$R$7,5,0),IF(I6="PHP",VLOOKUP(H6,'Resource Rate Card'!$N$1:$R$7,4,0),IF(I6="UK",VLOOKUP(H6,'Resource Rate Card'!$N$1:$R$7,3,0),IF(I6="US",VLOOKUP(H6,'Resource Rate Card'!$N$1:$R$7,2,0))))))</f>
        <v>3151.7247623942949</v>
      </c>
      <c r="L6" s="25">
        <v>1</v>
      </c>
      <c r="M6" s="25">
        <v>1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8">
        <f t="shared" si="2"/>
        <v>6303.4495247885898</v>
      </c>
    </row>
    <row r="7" spans="1:24" x14ac:dyDescent="0.3">
      <c r="A7" s="1" t="str">
        <f t="shared" si="0"/>
        <v>Google Tech LeadIndiaC1</v>
      </c>
      <c r="B7" s="1" t="s">
        <v>264</v>
      </c>
      <c r="C7" s="1" t="s">
        <v>18</v>
      </c>
      <c r="D7" s="1" t="s">
        <v>277</v>
      </c>
      <c r="E7" s="1" t="s">
        <v>222</v>
      </c>
      <c r="F7" s="1" t="s">
        <v>161</v>
      </c>
      <c r="G7" s="1" t="s">
        <v>204</v>
      </c>
      <c r="H7" s="1" t="str">
        <f t="shared" si="1"/>
        <v>C</v>
      </c>
      <c r="I7" s="1" t="s">
        <v>194</v>
      </c>
      <c r="J7" s="1" t="s">
        <v>165</v>
      </c>
      <c r="K7" s="8">
        <f>IF(F7="Contractor",VLOOKUP(H7,'Resource Rate Card'!$N$10:$O$16,2,0),IF(I7="India",VLOOKUP(H7,'Resource Rate Card'!$N$1:$R$7,5,0),IF(I7="PHP",VLOOKUP(H7,'Resource Rate Card'!$N$1:$R$7,4,0),IF(I7="UK",VLOOKUP(H7,'Resource Rate Card'!$N$1:$R$7,3,0),IF(I7="US",VLOOKUP(H7,'Resource Rate Card'!$N$1:$R$7,2,0))))))</f>
        <v>5716.2812190976911</v>
      </c>
      <c r="L7" s="25">
        <v>1</v>
      </c>
      <c r="M7" s="25">
        <v>1</v>
      </c>
      <c r="N7" s="25">
        <v>0</v>
      </c>
      <c r="O7" s="25">
        <v>0</v>
      </c>
      <c r="P7" s="25">
        <v>0</v>
      </c>
      <c r="Q7" s="25">
        <v>0</v>
      </c>
      <c r="R7" s="25">
        <v>0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8">
        <f t="shared" si="2"/>
        <v>11432.562438195382</v>
      </c>
    </row>
    <row r="8" spans="1:24" x14ac:dyDescent="0.3">
      <c r="A8" s="1" t="str">
        <f t="shared" si="0"/>
        <v>QA LeadIndiaC2</v>
      </c>
      <c r="B8" s="1" t="s">
        <v>264</v>
      </c>
      <c r="C8" s="1" t="s">
        <v>18</v>
      </c>
      <c r="D8" s="1" t="s">
        <v>278</v>
      </c>
      <c r="E8" s="1" t="s">
        <v>223</v>
      </c>
      <c r="F8" s="1" t="s">
        <v>161</v>
      </c>
      <c r="G8" s="1" t="s">
        <v>207</v>
      </c>
      <c r="H8" s="1" t="str">
        <f t="shared" si="1"/>
        <v>C</v>
      </c>
      <c r="I8" s="1" t="s">
        <v>194</v>
      </c>
      <c r="J8" s="1" t="s">
        <v>177</v>
      </c>
      <c r="K8" s="8">
        <f>IF(F8="Contractor",VLOOKUP(H8,'Resource Rate Card'!$N$10:$O$16,2,0),IF(I8="India",VLOOKUP(H8,'Resource Rate Card'!$N$1:$R$7,5,0),IF(I8="PHP",VLOOKUP(H8,'Resource Rate Card'!$N$1:$R$7,4,0),IF(I8="UK",VLOOKUP(H8,'Resource Rate Card'!$N$1:$R$7,3,0),IF(I8="US",VLOOKUP(H8,'Resource Rate Card'!$N$1:$R$7,2,0))))))</f>
        <v>5716.2812190976911</v>
      </c>
      <c r="L8" s="25">
        <v>1</v>
      </c>
      <c r="M8" s="25">
        <v>1</v>
      </c>
      <c r="N8" s="25">
        <v>0</v>
      </c>
      <c r="O8" s="25">
        <v>0</v>
      </c>
      <c r="P8" s="25">
        <v>0</v>
      </c>
      <c r="Q8" s="25">
        <v>0</v>
      </c>
      <c r="R8" s="25">
        <v>0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8">
        <f t="shared" si="2"/>
        <v>11432.562438195382</v>
      </c>
    </row>
    <row r="9" spans="1:24" x14ac:dyDescent="0.3">
      <c r="A9" s="1" t="str">
        <f t="shared" si="0"/>
        <v>Google Tech LeadIndiaC1</v>
      </c>
      <c r="B9" s="1" t="s">
        <v>264</v>
      </c>
      <c r="C9" s="1" t="s">
        <v>18</v>
      </c>
      <c r="D9" s="1" t="s">
        <v>279</v>
      </c>
      <c r="E9" s="1" t="s">
        <v>224</v>
      </c>
      <c r="F9" s="1" t="s">
        <v>161</v>
      </c>
      <c r="G9" s="1" t="s">
        <v>204</v>
      </c>
      <c r="H9" s="1" t="str">
        <f t="shared" si="1"/>
        <v>C</v>
      </c>
      <c r="I9" s="1" t="s">
        <v>194</v>
      </c>
      <c r="J9" s="1" t="s">
        <v>165</v>
      </c>
      <c r="K9" s="8">
        <f>IF(F9="Contractor",VLOOKUP(H9,'Resource Rate Card'!$N$10:$O$16,2,0),IF(I9="India",VLOOKUP(H9,'Resource Rate Card'!$N$1:$R$7,5,0),IF(I9="PHP",VLOOKUP(H9,'Resource Rate Card'!$N$1:$R$7,4,0),IF(I9="UK",VLOOKUP(H9,'Resource Rate Card'!$N$1:$R$7,3,0),IF(I9="US",VLOOKUP(H9,'Resource Rate Card'!$N$1:$R$7,2,0))))))</f>
        <v>5716.2812190976911</v>
      </c>
      <c r="L9" s="25">
        <v>1</v>
      </c>
      <c r="M9" s="25">
        <v>1</v>
      </c>
      <c r="N9" s="25">
        <v>0</v>
      </c>
      <c r="O9" s="25">
        <v>0</v>
      </c>
      <c r="P9" s="25">
        <v>0</v>
      </c>
      <c r="Q9" s="25">
        <v>0</v>
      </c>
      <c r="R9" s="25">
        <v>0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8">
        <f t="shared" si="2"/>
        <v>11432.562438195382</v>
      </c>
    </row>
    <row r="10" spans="1:24" x14ac:dyDescent="0.3">
      <c r="A10" s="1" t="str">
        <f t="shared" si="0"/>
        <v>Project ManagerPHPD1</v>
      </c>
      <c r="B10" s="1" t="s">
        <v>265</v>
      </c>
      <c r="C10" s="1" t="s">
        <v>19</v>
      </c>
      <c r="D10" s="1" t="s">
        <v>280</v>
      </c>
      <c r="E10" s="1" t="s">
        <v>225</v>
      </c>
      <c r="F10" s="1" t="s">
        <v>161</v>
      </c>
      <c r="G10" s="1" t="s">
        <v>208</v>
      </c>
      <c r="H10" s="1" t="str">
        <f t="shared" si="1"/>
        <v>D</v>
      </c>
      <c r="I10" s="1" t="s">
        <v>198</v>
      </c>
      <c r="J10" s="1" t="s">
        <v>166</v>
      </c>
      <c r="K10" s="8">
        <f>IF(F10="Contractor",VLOOKUP(H10,'Resource Rate Card'!$N$10:$O$16,2,0),IF(I10="India",VLOOKUP(H10,'Resource Rate Card'!$N$1:$R$7,5,0),IF(I10="PHP",VLOOKUP(H10,'Resource Rate Card'!$N$1:$R$7,4,0),IF(I10="UK",VLOOKUP(H10,'Resource Rate Card'!$N$1:$R$7,3,0),IF(I10="US",VLOOKUP(H10,'Resource Rate Card'!$N$1:$R$7,2,0))))))</f>
        <v>16292.776011271362</v>
      </c>
      <c r="L10" s="25">
        <v>1</v>
      </c>
      <c r="M10" s="25">
        <v>1</v>
      </c>
      <c r="N10" s="25">
        <v>0</v>
      </c>
      <c r="O10" s="25">
        <v>0</v>
      </c>
      <c r="P10" s="25">
        <v>0</v>
      </c>
      <c r="Q10" s="25">
        <v>0</v>
      </c>
      <c r="R10" s="25">
        <v>0</v>
      </c>
      <c r="S10" s="25">
        <v>0</v>
      </c>
      <c r="T10" s="25">
        <v>0</v>
      </c>
      <c r="U10" s="25">
        <v>0</v>
      </c>
      <c r="V10" s="25">
        <v>0</v>
      </c>
      <c r="W10" s="25">
        <v>0</v>
      </c>
      <c r="X10" s="8">
        <f t="shared" si="2"/>
        <v>32585.552022542724</v>
      </c>
    </row>
    <row r="11" spans="1:24" x14ac:dyDescent="0.3">
      <c r="A11" s="1" t="str">
        <f t="shared" si="0"/>
        <v>Google Tech LeadIndiaC2</v>
      </c>
      <c r="B11" s="1" t="s">
        <v>265</v>
      </c>
      <c r="C11" s="1" t="s">
        <v>19</v>
      </c>
      <c r="D11" s="1" t="s">
        <v>281</v>
      </c>
      <c r="E11" s="1" t="s">
        <v>226</v>
      </c>
      <c r="F11" s="1" t="s">
        <v>161</v>
      </c>
      <c r="G11" s="1" t="s">
        <v>207</v>
      </c>
      <c r="H11" s="1" t="str">
        <f t="shared" si="1"/>
        <v>C</v>
      </c>
      <c r="I11" s="1" t="s">
        <v>194</v>
      </c>
      <c r="J11" s="1" t="s">
        <v>165</v>
      </c>
      <c r="K11" s="8">
        <f>IF(F11="Contractor",VLOOKUP(H11,'Resource Rate Card'!$N$10:$O$16,2,0),IF(I11="India",VLOOKUP(H11,'Resource Rate Card'!$N$1:$R$7,5,0),IF(I11="PHP",VLOOKUP(H11,'Resource Rate Card'!$N$1:$R$7,4,0),IF(I11="UK",VLOOKUP(H11,'Resource Rate Card'!$N$1:$R$7,3,0),IF(I11="US",VLOOKUP(H11,'Resource Rate Card'!$N$1:$R$7,2,0))))))</f>
        <v>5716.2812190976911</v>
      </c>
      <c r="L11" s="25">
        <v>1</v>
      </c>
      <c r="M11" s="25">
        <v>1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0</v>
      </c>
      <c r="T11" s="25">
        <v>0</v>
      </c>
      <c r="U11" s="25">
        <v>0</v>
      </c>
      <c r="V11" s="25">
        <v>0</v>
      </c>
      <c r="W11" s="25">
        <v>0</v>
      </c>
      <c r="X11" s="8">
        <f t="shared" si="2"/>
        <v>11432.562438195382</v>
      </c>
    </row>
    <row r="12" spans="1:24" x14ac:dyDescent="0.3">
      <c r="A12" s="1" t="str">
        <f t="shared" si="0"/>
        <v>Business AnalystIndiaC2</v>
      </c>
      <c r="B12" s="1" t="s">
        <v>264</v>
      </c>
      <c r="C12" s="1" t="s">
        <v>18</v>
      </c>
      <c r="D12" s="1" t="s">
        <v>282</v>
      </c>
      <c r="E12" s="1" t="s">
        <v>227</v>
      </c>
      <c r="F12" s="1" t="s">
        <v>161</v>
      </c>
      <c r="G12" s="1" t="s">
        <v>207</v>
      </c>
      <c r="H12" s="1" t="str">
        <f t="shared" si="1"/>
        <v>C</v>
      </c>
      <c r="I12" s="1" t="s">
        <v>194</v>
      </c>
      <c r="J12" s="1" t="s">
        <v>167</v>
      </c>
      <c r="K12" s="8">
        <f>IF(F12="Contractor",VLOOKUP(H12,'Resource Rate Card'!$N$10:$O$16,2,0),IF(I12="India",VLOOKUP(H12,'Resource Rate Card'!$N$1:$R$7,5,0),IF(I12="PHP",VLOOKUP(H12,'Resource Rate Card'!$N$1:$R$7,4,0),IF(I12="UK",VLOOKUP(H12,'Resource Rate Card'!$N$1:$R$7,3,0),IF(I12="US",VLOOKUP(H12,'Resource Rate Card'!$N$1:$R$7,2,0))))))</f>
        <v>5716.2812190976911</v>
      </c>
      <c r="L12" s="25">
        <v>1</v>
      </c>
      <c r="M12" s="25">
        <v>1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8">
        <f t="shared" si="2"/>
        <v>11432.562438195382</v>
      </c>
    </row>
    <row r="13" spans="1:24" x14ac:dyDescent="0.3">
      <c r="A13" s="1" t="str">
        <f t="shared" si="0"/>
        <v>Google Delivery LeadIndiaD1</v>
      </c>
      <c r="B13" s="1" t="s">
        <v>264</v>
      </c>
      <c r="C13" s="1" t="s">
        <v>18</v>
      </c>
      <c r="D13" s="1" t="s">
        <v>283</v>
      </c>
      <c r="E13" s="1" t="s">
        <v>228</v>
      </c>
      <c r="F13" s="1" t="s">
        <v>161</v>
      </c>
      <c r="G13" s="1" t="s">
        <v>208</v>
      </c>
      <c r="H13" s="1" t="str">
        <f t="shared" si="1"/>
        <v>D</v>
      </c>
      <c r="I13" s="1" t="s">
        <v>194</v>
      </c>
      <c r="J13" s="1" t="s">
        <v>163</v>
      </c>
      <c r="K13" s="8">
        <f>IF(F13="Contractor",VLOOKUP(H13,'Resource Rate Card'!$N$10:$O$16,2,0),IF(I13="India",VLOOKUP(H13,'Resource Rate Card'!$N$1:$R$7,5,0),IF(I13="PHP",VLOOKUP(H13,'Resource Rate Card'!$N$1:$R$7,4,0),IF(I13="UK",VLOOKUP(H13,'Resource Rate Card'!$N$1:$R$7,3,0),IF(I13="US",VLOOKUP(H13,'Resource Rate Card'!$N$1:$R$7,2,0))))))</f>
        <v>10852.347890782839</v>
      </c>
      <c r="L13" s="25">
        <v>1</v>
      </c>
      <c r="M13" s="25">
        <v>1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8">
        <f t="shared" si="2"/>
        <v>21704.695781565679</v>
      </c>
    </row>
    <row r="14" spans="1:24" x14ac:dyDescent="0.3">
      <c r="A14" s="1" t="str">
        <f t="shared" si="0"/>
        <v>Google DeveloperIndiaB2</v>
      </c>
      <c r="B14" s="1" t="s">
        <v>264</v>
      </c>
      <c r="C14" s="1" t="s">
        <v>18</v>
      </c>
      <c r="D14" s="1" t="s">
        <v>284</v>
      </c>
      <c r="E14" s="1" t="s">
        <v>229</v>
      </c>
      <c r="F14" s="1" t="s">
        <v>161</v>
      </c>
      <c r="G14" s="1" t="s">
        <v>202</v>
      </c>
      <c r="H14" s="1" t="str">
        <f t="shared" si="1"/>
        <v>B</v>
      </c>
      <c r="I14" s="1" t="s">
        <v>194</v>
      </c>
      <c r="J14" s="1" t="s">
        <v>170</v>
      </c>
      <c r="K14" s="8">
        <f>IF(F14="Contractor",VLOOKUP(H14,'Resource Rate Card'!$N$10:$O$16,2,0),IF(I14="India",VLOOKUP(H14,'Resource Rate Card'!$N$1:$R$7,5,0),IF(I14="PHP",VLOOKUP(H14,'Resource Rate Card'!$N$1:$R$7,4,0),IF(I14="UK",VLOOKUP(H14,'Resource Rate Card'!$N$1:$R$7,3,0),IF(I14="US",VLOOKUP(H14,'Resource Rate Card'!$N$1:$R$7,2,0))))))</f>
        <v>3151.7247623942949</v>
      </c>
      <c r="L14" s="25">
        <v>1</v>
      </c>
      <c r="M14" s="25">
        <v>1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8">
        <f t="shared" si="2"/>
        <v>6303.4495247885898</v>
      </c>
    </row>
    <row r="15" spans="1:24" x14ac:dyDescent="0.3">
      <c r="A15" s="1" t="str">
        <f t="shared" si="0"/>
        <v>Google DeveloperIndiaB1</v>
      </c>
      <c r="B15" s="1" t="s">
        <v>265</v>
      </c>
      <c r="C15" s="1" t="s">
        <v>19</v>
      </c>
      <c r="D15" s="1" t="s">
        <v>285</v>
      </c>
      <c r="E15" s="1" t="s">
        <v>230</v>
      </c>
      <c r="F15" s="1" t="s">
        <v>161</v>
      </c>
      <c r="G15" s="1" t="s">
        <v>199</v>
      </c>
      <c r="H15" s="1" t="str">
        <f t="shared" si="1"/>
        <v>B</v>
      </c>
      <c r="I15" s="1" t="s">
        <v>194</v>
      </c>
      <c r="J15" s="1" t="s">
        <v>170</v>
      </c>
      <c r="K15" s="8">
        <f>IF(F15="Contractor",VLOOKUP(H15,'Resource Rate Card'!$N$10:$O$16,2,0),IF(I15="India",VLOOKUP(H15,'Resource Rate Card'!$N$1:$R$7,5,0),IF(I15="PHP",VLOOKUP(H15,'Resource Rate Card'!$N$1:$R$7,4,0),IF(I15="UK",VLOOKUP(H15,'Resource Rate Card'!$N$1:$R$7,3,0),IF(I15="US",VLOOKUP(H15,'Resource Rate Card'!$N$1:$R$7,2,0))))))</f>
        <v>3151.7247623942949</v>
      </c>
      <c r="L15" s="25">
        <v>1</v>
      </c>
      <c r="M15" s="25">
        <v>1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8">
        <f t="shared" si="2"/>
        <v>6303.4495247885898</v>
      </c>
    </row>
    <row r="16" spans="1:24" x14ac:dyDescent="0.3">
      <c r="A16" s="1" t="str">
        <f t="shared" si="0"/>
        <v>Google DeveloperIndiaB1</v>
      </c>
      <c r="B16" s="1" t="s">
        <v>265</v>
      </c>
      <c r="C16" s="1" t="s">
        <v>19</v>
      </c>
      <c r="D16" s="1" t="s">
        <v>286</v>
      </c>
      <c r="E16" s="1" t="s">
        <v>231</v>
      </c>
      <c r="F16" s="1" t="s">
        <v>161</v>
      </c>
      <c r="G16" s="1" t="s">
        <v>199</v>
      </c>
      <c r="H16" s="1" t="str">
        <f t="shared" si="1"/>
        <v>B</v>
      </c>
      <c r="I16" s="1" t="s">
        <v>194</v>
      </c>
      <c r="J16" s="1" t="s">
        <v>170</v>
      </c>
      <c r="K16" s="8">
        <f>IF(F16="Contractor",VLOOKUP(H16,'Resource Rate Card'!$N$10:$O$16,2,0),IF(I16="India",VLOOKUP(H16,'Resource Rate Card'!$N$1:$R$7,5,0),IF(I16="PHP",VLOOKUP(H16,'Resource Rate Card'!$N$1:$R$7,4,0),IF(I16="UK",VLOOKUP(H16,'Resource Rate Card'!$N$1:$R$7,3,0),IF(I16="US",VLOOKUP(H16,'Resource Rate Card'!$N$1:$R$7,2,0))))))</f>
        <v>3151.7247623942949</v>
      </c>
      <c r="L16" s="25">
        <v>1</v>
      </c>
      <c r="M16" s="25">
        <v>1</v>
      </c>
      <c r="N16" s="25">
        <v>0</v>
      </c>
      <c r="O16" s="25">
        <v>0</v>
      </c>
      <c r="P16" s="25">
        <v>0</v>
      </c>
      <c r="Q16" s="25">
        <v>0</v>
      </c>
      <c r="R16" s="25">
        <v>0</v>
      </c>
      <c r="S16" s="25">
        <v>0</v>
      </c>
      <c r="T16" s="25">
        <v>0</v>
      </c>
      <c r="U16" s="25">
        <v>0</v>
      </c>
      <c r="V16" s="25">
        <v>0</v>
      </c>
      <c r="W16" s="25">
        <v>0</v>
      </c>
      <c r="X16" s="8">
        <f t="shared" si="2"/>
        <v>6303.4495247885898</v>
      </c>
    </row>
    <row r="17" spans="1:24" x14ac:dyDescent="0.3">
      <c r="A17" s="1" t="str">
        <f t="shared" si="0"/>
        <v>Data AnalystIndiaB1</v>
      </c>
      <c r="B17" s="1" t="s">
        <v>264</v>
      </c>
      <c r="C17" s="1" t="s">
        <v>18</v>
      </c>
      <c r="D17" s="1" t="s">
        <v>287</v>
      </c>
      <c r="E17" s="1" t="s">
        <v>232</v>
      </c>
      <c r="F17" s="1" t="s">
        <v>161</v>
      </c>
      <c r="G17" s="1" t="s">
        <v>199</v>
      </c>
      <c r="H17" s="1" t="str">
        <f t="shared" si="1"/>
        <v>B</v>
      </c>
      <c r="I17" s="1" t="s">
        <v>194</v>
      </c>
      <c r="J17" s="1" t="s">
        <v>180</v>
      </c>
      <c r="K17" s="8">
        <f>IF(F17="Contractor",VLOOKUP(H17,'Resource Rate Card'!$N$10:$O$16,2,0),IF(I17="India",VLOOKUP(H17,'Resource Rate Card'!$N$1:$R$7,5,0),IF(I17="PHP",VLOOKUP(H17,'Resource Rate Card'!$N$1:$R$7,4,0),IF(I17="UK",VLOOKUP(H17,'Resource Rate Card'!$N$1:$R$7,3,0),IF(I17="US",VLOOKUP(H17,'Resource Rate Card'!$N$1:$R$7,2,0))))))</f>
        <v>3151.7247623942949</v>
      </c>
      <c r="L17" s="25">
        <v>1</v>
      </c>
      <c r="M17" s="25">
        <v>1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5">
        <v>0</v>
      </c>
      <c r="V17" s="25">
        <v>0</v>
      </c>
      <c r="W17" s="25">
        <v>0</v>
      </c>
      <c r="X17" s="8">
        <f t="shared" si="2"/>
        <v>6303.4495247885898</v>
      </c>
    </row>
    <row r="18" spans="1:24" x14ac:dyDescent="0.3">
      <c r="A18" s="1" t="str">
        <f t="shared" si="0"/>
        <v>Data AnalystIndiaC2</v>
      </c>
      <c r="B18" s="1" t="s">
        <v>264</v>
      </c>
      <c r="C18" s="1" t="s">
        <v>18</v>
      </c>
      <c r="D18" s="1" t="s">
        <v>288</v>
      </c>
      <c r="E18" s="1" t="s">
        <v>233</v>
      </c>
      <c r="F18" s="1" t="s">
        <v>161</v>
      </c>
      <c r="G18" s="1" t="s">
        <v>207</v>
      </c>
      <c r="H18" s="1" t="str">
        <f t="shared" si="1"/>
        <v>C</v>
      </c>
      <c r="I18" s="1" t="s">
        <v>194</v>
      </c>
      <c r="J18" s="1" t="s">
        <v>180</v>
      </c>
      <c r="K18" s="8">
        <f>IF(F18="Contractor",VLOOKUP(H18,'Resource Rate Card'!$N$10:$O$16,2,0),IF(I18="India",VLOOKUP(H18,'Resource Rate Card'!$N$1:$R$7,5,0),IF(I18="PHP",VLOOKUP(H18,'Resource Rate Card'!$N$1:$R$7,4,0),IF(I18="UK",VLOOKUP(H18,'Resource Rate Card'!$N$1:$R$7,3,0),IF(I18="US",VLOOKUP(H18,'Resource Rate Card'!$N$1:$R$7,2,0))))))</f>
        <v>5716.2812190976911</v>
      </c>
      <c r="L18" s="25">
        <v>1</v>
      </c>
      <c r="M18" s="25">
        <v>1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5">
        <v>0</v>
      </c>
      <c r="V18" s="25">
        <v>0</v>
      </c>
      <c r="W18" s="25">
        <v>0</v>
      </c>
      <c r="X18" s="8">
        <f t="shared" si="2"/>
        <v>11432.562438195382</v>
      </c>
    </row>
    <row r="19" spans="1:24" x14ac:dyDescent="0.3">
      <c r="A19" s="1" t="str">
        <f t="shared" si="0"/>
        <v>QAIndiaB2</v>
      </c>
      <c r="B19" s="1" t="s">
        <v>264</v>
      </c>
      <c r="C19" s="1" t="s">
        <v>18</v>
      </c>
      <c r="D19" s="1" t="s">
        <v>289</v>
      </c>
      <c r="E19" s="1" t="s">
        <v>234</v>
      </c>
      <c r="F19" s="1" t="s">
        <v>161</v>
      </c>
      <c r="G19" s="1" t="s">
        <v>202</v>
      </c>
      <c r="H19" s="1" t="str">
        <f t="shared" si="1"/>
        <v>B</v>
      </c>
      <c r="I19" s="1" t="s">
        <v>194</v>
      </c>
      <c r="J19" s="1" t="s">
        <v>146</v>
      </c>
      <c r="K19" s="8">
        <f>IF(F19="Contractor",VLOOKUP(H19,'Resource Rate Card'!$N$10:$O$16,2,0),IF(I19="India",VLOOKUP(H19,'Resource Rate Card'!$N$1:$R$7,5,0),IF(I19="PHP",VLOOKUP(H19,'Resource Rate Card'!$N$1:$R$7,4,0),IF(I19="UK",VLOOKUP(H19,'Resource Rate Card'!$N$1:$R$7,3,0),IF(I19="US",VLOOKUP(H19,'Resource Rate Card'!$N$1:$R$7,2,0))))))</f>
        <v>3151.7247623942949</v>
      </c>
      <c r="L19" s="25">
        <v>1</v>
      </c>
      <c r="M19" s="25">
        <v>1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8">
        <f t="shared" si="2"/>
        <v>6303.4495247885898</v>
      </c>
    </row>
    <row r="20" spans="1:24" x14ac:dyDescent="0.3">
      <c r="A20" s="1" t="str">
        <f t="shared" si="0"/>
        <v>QAIndiaC1</v>
      </c>
      <c r="B20" s="1" t="s">
        <v>265</v>
      </c>
      <c r="C20" s="1" t="s">
        <v>19</v>
      </c>
      <c r="D20" s="1" t="s">
        <v>290</v>
      </c>
      <c r="E20" s="1" t="s">
        <v>235</v>
      </c>
      <c r="F20" s="1" t="s">
        <v>161</v>
      </c>
      <c r="G20" s="1" t="s">
        <v>204</v>
      </c>
      <c r="H20" s="1" t="str">
        <f t="shared" si="1"/>
        <v>C</v>
      </c>
      <c r="I20" s="1" t="s">
        <v>194</v>
      </c>
      <c r="J20" s="1" t="s">
        <v>146</v>
      </c>
      <c r="K20" s="8">
        <f>IF(F20="Contractor",VLOOKUP(H20,'Resource Rate Card'!$N$10:$O$16,2,0),IF(I20="India",VLOOKUP(H20,'Resource Rate Card'!$N$1:$R$7,5,0),IF(I20="PHP",VLOOKUP(H20,'Resource Rate Card'!$N$1:$R$7,4,0),IF(I20="UK",VLOOKUP(H20,'Resource Rate Card'!$N$1:$R$7,3,0),IF(I20="US",VLOOKUP(H20,'Resource Rate Card'!$N$1:$R$7,2,0))))))</f>
        <v>5716.2812190976911</v>
      </c>
      <c r="L20" s="25">
        <v>1</v>
      </c>
      <c r="M20" s="25">
        <v>1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8">
        <f t="shared" si="2"/>
        <v>11432.562438195382</v>
      </c>
    </row>
    <row r="21" spans="1:24" x14ac:dyDescent="0.3">
      <c r="A21" s="1" t="str">
        <f t="shared" si="0"/>
        <v>CI Optimization LeadIndiaD2</v>
      </c>
      <c r="B21" s="1" t="s">
        <v>265</v>
      </c>
      <c r="C21" s="1" t="s">
        <v>19</v>
      </c>
      <c r="D21" s="1" t="s">
        <v>291</v>
      </c>
      <c r="E21" s="1" t="s">
        <v>236</v>
      </c>
      <c r="F21" s="1" t="s">
        <v>161</v>
      </c>
      <c r="G21" s="1" t="s">
        <v>210</v>
      </c>
      <c r="H21" s="1" t="str">
        <f t="shared" si="1"/>
        <v>D</v>
      </c>
      <c r="I21" s="1" t="s">
        <v>194</v>
      </c>
      <c r="J21" s="1" t="s">
        <v>179</v>
      </c>
      <c r="K21" s="8">
        <f>IF(F21="Contractor",VLOOKUP(H21,'Resource Rate Card'!$N$10:$O$16,2,0),IF(I21="India",VLOOKUP(H21,'Resource Rate Card'!$N$1:$R$7,5,0),IF(I21="PHP",VLOOKUP(H21,'Resource Rate Card'!$N$1:$R$7,4,0),IF(I21="UK",VLOOKUP(H21,'Resource Rate Card'!$N$1:$R$7,3,0),IF(I21="US",VLOOKUP(H21,'Resource Rate Card'!$N$1:$R$7,2,0))))))</f>
        <v>10852.347890782839</v>
      </c>
      <c r="L21" s="25">
        <v>1</v>
      </c>
      <c r="M21" s="25">
        <v>1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  <c r="S21" s="25">
        <v>0</v>
      </c>
      <c r="T21" s="25">
        <v>0</v>
      </c>
      <c r="U21" s="25">
        <v>0</v>
      </c>
      <c r="V21" s="25">
        <v>0</v>
      </c>
      <c r="W21" s="25">
        <v>0</v>
      </c>
      <c r="X21" s="8">
        <f t="shared" si="2"/>
        <v>21704.695781565679</v>
      </c>
    </row>
    <row r="22" spans="1:24" x14ac:dyDescent="0.3">
      <c r="A22" s="1" t="str">
        <f t="shared" si="0"/>
        <v>QAIndiaB1</v>
      </c>
      <c r="B22" s="1" t="s">
        <v>264</v>
      </c>
      <c r="C22" s="1" t="s">
        <v>18</v>
      </c>
      <c r="D22" s="1" t="s">
        <v>292</v>
      </c>
      <c r="E22" s="1" t="s">
        <v>237</v>
      </c>
      <c r="F22" s="1" t="s">
        <v>161</v>
      </c>
      <c r="G22" s="1" t="s">
        <v>199</v>
      </c>
      <c r="H22" s="1" t="str">
        <f t="shared" si="1"/>
        <v>B</v>
      </c>
      <c r="I22" s="1" t="s">
        <v>194</v>
      </c>
      <c r="J22" s="1" t="s">
        <v>146</v>
      </c>
      <c r="K22" s="8">
        <f>IF(F22="Contractor",VLOOKUP(H22,'Resource Rate Card'!$N$10:$O$16,2,0),IF(I22="India",VLOOKUP(H22,'Resource Rate Card'!$N$1:$R$7,5,0),IF(I22="PHP",VLOOKUP(H22,'Resource Rate Card'!$N$1:$R$7,4,0),IF(I22="UK",VLOOKUP(H22,'Resource Rate Card'!$N$1:$R$7,3,0),IF(I22="US",VLOOKUP(H22,'Resource Rate Card'!$N$1:$R$7,2,0))))))</f>
        <v>3151.7247623942949</v>
      </c>
      <c r="L22" s="25">
        <v>1</v>
      </c>
      <c r="M22" s="25">
        <v>1</v>
      </c>
      <c r="N22" s="25">
        <v>0</v>
      </c>
      <c r="O22" s="25">
        <v>0</v>
      </c>
      <c r="P22" s="25">
        <v>0</v>
      </c>
      <c r="Q22" s="25">
        <v>0</v>
      </c>
      <c r="R22" s="25">
        <v>0</v>
      </c>
      <c r="S22" s="25">
        <v>0</v>
      </c>
      <c r="T22" s="25">
        <v>0</v>
      </c>
      <c r="U22" s="25">
        <v>0</v>
      </c>
      <c r="V22" s="25">
        <v>0</v>
      </c>
      <c r="W22" s="25">
        <v>0</v>
      </c>
      <c r="X22" s="8">
        <f t="shared" si="2"/>
        <v>6303.4495247885898</v>
      </c>
    </row>
    <row r="23" spans="1:24" x14ac:dyDescent="0.3">
      <c r="A23" s="1" t="str">
        <f t="shared" si="0"/>
        <v>Business AnalystIndiaC1</v>
      </c>
      <c r="B23" s="1" t="s">
        <v>264</v>
      </c>
      <c r="C23" s="1" t="s">
        <v>18</v>
      </c>
      <c r="D23" s="1" t="s">
        <v>293</v>
      </c>
      <c r="E23" s="1" t="s">
        <v>238</v>
      </c>
      <c r="F23" s="1" t="s">
        <v>161</v>
      </c>
      <c r="G23" s="1" t="s">
        <v>204</v>
      </c>
      <c r="H23" s="1" t="str">
        <f t="shared" si="1"/>
        <v>C</v>
      </c>
      <c r="I23" s="1" t="s">
        <v>194</v>
      </c>
      <c r="J23" s="1" t="s">
        <v>167</v>
      </c>
      <c r="K23" s="8">
        <f>IF(F23="Contractor",VLOOKUP(H23,'Resource Rate Card'!$N$10:$O$16,2,0),IF(I23="India",VLOOKUP(H23,'Resource Rate Card'!$N$1:$R$7,5,0),IF(I23="PHP",VLOOKUP(H23,'Resource Rate Card'!$N$1:$R$7,4,0),IF(I23="UK",VLOOKUP(H23,'Resource Rate Card'!$N$1:$R$7,3,0),IF(I23="US",VLOOKUP(H23,'Resource Rate Card'!$N$1:$R$7,2,0))))))</f>
        <v>5716.2812190976911</v>
      </c>
      <c r="L23" s="25">
        <v>1</v>
      </c>
      <c r="M23" s="25">
        <v>1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25">
        <v>0</v>
      </c>
      <c r="T23" s="25">
        <v>0</v>
      </c>
      <c r="U23" s="25">
        <v>0</v>
      </c>
      <c r="V23" s="25">
        <v>0</v>
      </c>
      <c r="W23" s="25">
        <v>0</v>
      </c>
      <c r="X23" s="8">
        <f t="shared" si="2"/>
        <v>11432.562438195382</v>
      </c>
    </row>
    <row r="24" spans="1:24" x14ac:dyDescent="0.3">
      <c r="A24" s="1" t="str">
        <f t="shared" si="0"/>
        <v>CI Optimization LeadIndiaD1</v>
      </c>
      <c r="B24" s="1" t="s">
        <v>264</v>
      </c>
      <c r="C24" s="1" t="s">
        <v>18</v>
      </c>
      <c r="D24" s="1" t="s">
        <v>294</v>
      </c>
      <c r="E24" s="1" t="s">
        <v>239</v>
      </c>
      <c r="F24" s="1" t="s">
        <v>161</v>
      </c>
      <c r="G24" s="1" t="s">
        <v>208</v>
      </c>
      <c r="H24" s="1" t="str">
        <f t="shared" si="1"/>
        <v>D</v>
      </c>
      <c r="I24" s="1" t="s">
        <v>194</v>
      </c>
      <c r="J24" s="1" t="s">
        <v>179</v>
      </c>
      <c r="K24" s="8">
        <f>IF(F24="Contractor",VLOOKUP(H24,'Resource Rate Card'!$N$10:$O$16,2,0),IF(I24="India",VLOOKUP(H24,'Resource Rate Card'!$N$1:$R$7,5,0),IF(I24="PHP",VLOOKUP(H24,'Resource Rate Card'!$N$1:$R$7,4,0),IF(I24="UK",VLOOKUP(H24,'Resource Rate Card'!$N$1:$R$7,3,0),IF(I24="US",VLOOKUP(H24,'Resource Rate Card'!$N$1:$R$7,2,0))))))</f>
        <v>10852.347890782839</v>
      </c>
      <c r="L24" s="25">
        <v>1</v>
      </c>
      <c r="M24" s="25">
        <v>1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25">
        <v>0</v>
      </c>
      <c r="T24" s="25">
        <v>0</v>
      </c>
      <c r="U24" s="25">
        <v>0</v>
      </c>
      <c r="V24" s="25">
        <v>0</v>
      </c>
      <c r="W24" s="25">
        <v>0</v>
      </c>
      <c r="X24" s="8">
        <f t="shared" si="2"/>
        <v>21704.695781565679</v>
      </c>
    </row>
    <row r="25" spans="1:24" x14ac:dyDescent="0.3">
      <c r="A25" s="1" t="str">
        <f t="shared" si="0"/>
        <v>Google SupportIndiaC1</v>
      </c>
      <c r="B25" s="1" t="s">
        <v>265</v>
      </c>
      <c r="C25" s="1" t="s">
        <v>19</v>
      </c>
      <c r="D25" s="1" t="s">
        <v>295</v>
      </c>
      <c r="E25" s="1" t="s">
        <v>240</v>
      </c>
      <c r="F25" s="1" t="s">
        <v>161</v>
      </c>
      <c r="G25" s="1" t="s">
        <v>204</v>
      </c>
      <c r="H25" s="1" t="str">
        <f t="shared" si="1"/>
        <v>C</v>
      </c>
      <c r="I25" s="1" t="s">
        <v>194</v>
      </c>
      <c r="J25" s="1" t="s">
        <v>182</v>
      </c>
      <c r="K25" s="8">
        <f>IF(F25="Contractor",VLOOKUP(H25,'Resource Rate Card'!$N$10:$O$16,2,0),IF(I25="India",VLOOKUP(H25,'Resource Rate Card'!$N$1:$R$7,5,0),IF(I25="PHP",VLOOKUP(H25,'Resource Rate Card'!$N$1:$R$7,4,0),IF(I25="UK",VLOOKUP(H25,'Resource Rate Card'!$N$1:$R$7,3,0),IF(I25="US",VLOOKUP(H25,'Resource Rate Card'!$N$1:$R$7,2,0))))))</f>
        <v>5716.2812190976911</v>
      </c>
      <c r="L25" s="25">
        <v>1</v>
      </c>
      <c r="M25" s="25">
        <v>1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8">
        <f t="shared" si="2"/>
        <v>11432.562438195382</v>
      </c>
    </row>
    <row r="26" spans="1:24" x14ac:dyDescent="0.3">
      <c r="A26" s="1" t="str">
        <f t="shared" si="0"/>
        <v>Google SupportIndiaB2</v>
      </c>
      <c r="B26" s="1" t="s">
        <v>265</v>
      </c>
      <c r="C26" s="1" t="s">
        <v>19</v>
      </c>
      <c r="D26" s="1" t="s">
        <v>296</v>
      </c>
      <c r="E26" s="1" t="s">
        <v>241</v>
      </c>
      <c r="F26" s="1" t="s">
        <v>161</v>
      </c>
      <c r="G26" s="1" t="s">
        <v>202</v>
      </c>
      <c r="H26" s="1" t="str">
        <f t="shared" si="1"/>
        <v>B</v>
      </c>
      <c r="I26" s="1" t="s">
        <v>194</v>
      </c>
      <c r="J26" s="1" t="s">
        <v>182</v>
      </c>
      <c r="K26" s="8">
        <f>IF(F26="Contractor",VLOOKUP(H26,'Resource Rate Card'!$N$10:$O$16,2,0),IF(I26="India",VLOOKUP(H26,'Resource Rate Card'!$N$1:$R$7,5,0),IF(I26="PHP",VLOOKUP(H26,'Resource Rate Card'!$N$1:$R$7,4,0),IF(I26="UK",VLOOKUP(H26,'Resource Rate Card'!$N$1:$R$7,3,0),IF(I26="US",VLOOKUP(H26,'Resource Rate Card'!$N$1:$R$7,2,0))))))</f>
        <v>3151.7247623942949</v>
      </c>
      <c r="L26" s="25">
        <v>1</v>
      </c>
      <c r="M26" s="25">
        <v>1</v>
      </c>
      <c r="N26" s="25">
        <v>0</v>
      </c>
      <c r="O26" s="25">
        <v>0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25">
        <v>0</v>
      </c>
      <c r="V26" s="25">
        <v>0</v>
      </c>
      <c r="W26" s="25">
        <v>0</v>
      </c>
      <c r="X26" s="8">
        <f t="shared" si="2"/>
        <v>6303.4495247885898</v>
      </c>
    </row>
    <row r="27" spans="1:24" x14ac:dyDescent="0.3">
      <c r="A27" s="1" t="str">
        <f t="shared" si="0"/>
        <v>Data AnalystIndiaB2</v>
      </c>
      <c r="B27" s="1" t="s">
        <v>264</v>
      </c>
      <c r="C27" s="1" t="s">
        <v>18</v>
      </c>
      <c r="D27" s="1" t="s">
        <v>297</v>
      </c>
      <c r="E27" s="1" t="s">
        <v>242</v>
      </c>
      <c r="F27" s="1" t="s">
        <v>161</v>
      </c>
      <c r="G27" s="1" t="s">
        <v>202</v>
      </c>
      <c r="H27" s="1" t="str">
        <f t="shared" si="1"/>
        <v>B</v>
      </c>
      <c r="I27" s="1" t="s">
        <v>194</v>
      </c>
      <c r="J27" s="1" t="s">
        <v>180</v>
      </c>
      <c r="K27" s="8">
        <f>IF(F27="Contractor",VLOOKUP(H27,'Resource Rate Card'!$N$10:$O$16,2,0),IF(I27="India",VLOOKUP(H27,'Resource Rate Card'!$N$1:$R$7,5,0),IF(I27="PHP",VLOOKUP(H27,'Resource Rate Card'!$N$1:$R$7,4,0),IF(I27="UK",VLOOKUP(H27,'Resource Rate Card'!$N$1:$R$7,3,0),IF(I27="US",VLOOKUP(H27,'Resource Rate Card'!$N$1:$R$7,2,0))))))</f>
        <v>3151.7247623942949</v>
      </c>
      <c r="L27" s="25">
        <v>1</v>
      </c>
      <c r="M27" s="25">
        <v>1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  <c r="S27" s="25">
        <v>0</v>
      </c>
      <c r="T27" s="25">
        <v>0</v>
      </c>
      <c r="U27" s="25">
        <v>0</v>
      </c>
      <c r="V27" s="25">
        <v>0</v>
      </c>
      <c r="W27" s="25">
        <v>0</v>
      </c>
      <c r="X27" s="8">
        <f t="shared" si="2"/>
        <v>6303.4495247885898</v>
      </c>
    </row>
    <row r="28" spans="1:24" x14ac:dyDescent="0.3">
      <c r="A28" s="1" t="str">
        <f t="shared" si="0"/>
        <v>Google Support LeadIndiaC1</v>
      </c>
      <c r="B28" s="1" t="s">
        <v>264</v>
      </c>
      <c r="C28" s="1" t="s">
        <v>18</v>
      </c>
      <c r="D28" s="1" t="s">
        <v>298</v>
      </c>
      <c r="E28" s="1" t="s">
        <v>243</v>
      </c>
      <c r="F28" s="1" t="s">
        <v>161</v>
      </c>
      <c r="G28" s="1" t="s">
        <v>204</v>
      </c>
      <c r="H28" s="1" t="str">
        <f t="shared" si="1"/>
        <v>C</v>
      </c>
      <c r="I28" s="1" t="s">
        <v>194</v>
      </c>
      <c r="J28" s="1" t="s">
        <v>181</v>
      </c>
      <c r="K28" s="8">
        <f>IF(F28="Contractor",VLOOKUP(H28,'Resource Rate Card'!$N$10:$O$16,2,0),IF(I28="India",VLOOKUP(H28,'Resource Rate Card'!$N$1:$R$7,5,0),IF(I28="PHP",VLOOKUP(H28,'Resource Rate Card'!$N$1:$R$7,4,0),IF(I28="UK",VLOOKUP(H28,'Resource Rate Card'!$N$1:$R$7,3,0),IF(I28="US",VLOOKUP(H28,'Resource Rate Card'!$N$1:$R$7,2,0))))))</f>
        <v>5716.2812190976911</v>
      </c>
      <c r="L28" s="25">
        <v>1</v>
      </c>
      <c r="M28" s="25">
        <v>1</v>
      </c>
      <c r="N28" s="25">
        <v>0</v>
      </c>
      <c r="O28" s="25">
        <v>0</v>
      </c>
      <c r="P28" s="25">
        <v>0</v>
      </c>
      <c r="Q28" s="25">
        <v>0</v>
      </c>
      <c r="R28" s="25">
        <v>0</v>
      </c>
      <c r="S28" s="25">
        <v>0</v>
      </c>
      <c r="T28" s="25">
        <v>0</v>
      </c>
      <c r="U28" s="25">
        <v>0</v>
      </c>
      <c r="V28" s="25">
        <v>0</v>
      </c>
      <c r="W28" s="25">
        <v>0</v>
      </c>
      <c r="X28" s="8">
        <f t="shared" si="2"/>
        <v>11432.562438195382</v>
      </c>
    </row>
    <row r="29" spans="1:24" x14ac:dyDescent="0.3">
      <c r="A29" s="1" t="str">
        <f t="shared" si="0"/>
        <v>Solution ArchitectIndiaD2</v>
      </c>
      <c r="B29" s="1" t="s">
        <v>264</v>
      </c>
      <c r="C29" s="1" t="s">
        <v>18</v>
      </c>
      <c r="D29" s="1" t="s">
        <v>299</v>
      </c>
      <c r="E29" s="1" t="s">
        <v>244</v>
      </c>
      <c r="F29" s="1" t="s">
        <v>161</v>
      </c>
      <c r="G29" s="1" t="s">
        <v>210</v>
      </c>
      <c r="H29" s="1" t="str">
        <f t="shared" si="1"/>
        <v>D</v>
      </c>
      <c r="I29" s="1" t="s">
        <v>194</v>
      </c>
      <c r="J29" s="1" t="s">
        <v>178</v>
      </c>
      <c r="K29" s="8">
        <f>IF(F29="Contractor",VLOOKUP(H29,'Resource Rate Card'!$N$10:$O$16,2,0),IF(I29="India",VLOOKUP(H29,'Resource Rate Card'!$N$1:$R$7,5,0),IF(I29="PHP",VLOOKUP(H29,'Resource Rate Card'!$N$1:$R$7,4,0),IF(I29="UK",VLOOKUP(H29,'Resource Rate Card'!$N$1:$R$7,3,0),IF(I29="US",VLOOKUP(H29,'Resource Rate Card'!$N$1:$R$7,2,0))))))</f>
        <v>10852.347890782839</v>
      </c>
      <c r="L29" s="25">
        <v>1</v>
      </c>
      <c r="M29" s="25">
        <v>1</v>
      </c>
      <c r="N29" s="25">
        <v>0</v>
      </c>
      <c r="O29" s="25">
        <v>0</v>
      </c>
      <c r="P29" s="25">
        <v>0</v>
      </c>
      <c r="Q29" s="25">
        <v>0</v>
      </c>
      <c r="R29" s="25">
        <v>0</v>
      </c>
      <c r="S29" s="25">
        <v>0</v>
      </c>
      <c r="T29" s="25">
        <v>0</v>
      </c>
      <c r="U29" s="25">
        <v>0</v>
      </c>
      <c r="V29" s="25">
        <v>0</v>
      </c>
      <c r="W29" s="25">
        <v>0</v>
      </c>
      <c r="X29" s="8">
        <f t="shared" si="2"/>
        <v>21704.695781565679</v>
      </c>
    </row>
    <row r="30" spans="1:24" x14ac:dyDescent="0.3">
      <c r="A30" s="1" t="str">
        <f t="shared" si="0"/>
        <v>Solution ArchitectIndiaD2</v>
      </c>
      <c r="B30" s="1" t="s">
        <v>265</v>
      </c>
      <c r="C30" s="1" t="s">
        <v>19</v>
      </c>
      <c r="D30" s="1" t="s">
        <v>300</v>
      </c>
      <c r="E30" s="1" t="s">
        <v>245</v>
      </c>
      <c r="F30" s="1" t="s">
        <v>161</v>
      </c>
      <c r="G30" s="1" t="s">
        <v>210</v>
      </c>
      <c r="H30" s="1" t="str">
        <f t="shared" si="1"/>
        <v>D</v>
      </c>
      <c r="I30" s="1" t="s">
        <v>194</v>
      </c>
      <c r="J30" s="1" t="s">
        <v>178</v>
      </c>
      <c r="K30" s="8">
        <f>IF(F30="Contractor",VLOOKUP(H30,'Resource Rate Card'!$N$10:$O$16,2,0),IF(I30="India",VLOOKUP(H30,'Resource Rate Card'!$N$1:$R$7,5,0),IF(I30="PHP",VLOOKUP(H30,'Resource Rate Card'!$N$1:$R$7,4,0),IF(I30="UK",VLOOKUP(H30,'Resource Rate Card'!$N$1:$R$7,3,0),IF(I30="US",VLOOKUP(H30,'Resource Rate Card'!$N$1:$R$7,2,0))))))</f>
        <v>10852.347890782839</v>
      </c>
      <c r="L30" s="25">
        <v>1</v>
      </c>
      <c r="M30" s="25">
        <v>1</v>
      </c>
      <c r="N30" s="25">
        <v>0</v>
      </c>
      <c r="O30" s="25">
        <v>0</v>
      </c>
      <c r="P30" s="25">
        <v>0</v>
      </c>
      <c r="Q30" s="25">
        <v>0</v>
      </c>
      <c r="R30" s="25">
        <v>0</v>
      </c>
      <c r="S30" s="25">
        <v>0</v>
      </c>
      <c r="T30" s="25">
        <v>0</v>
      </c>
      <c r="U30" s="25">
        <v>0</v>
      </c>
      <c r="V30" s="25">
        <v>0</v>
      </c>
      <c r="W30" s="25">
        <v>0</v>
      </c>
      <c r="X30" s="8">
        <f t="shared" si="2"/>
        <v>21704.695781565679</v>
      </c>
    </row>
    <row r="31" spans="1:24" x14ac:dyDescent="0.3">
      <c r="A31" s="1" t="str">
        <f t="shared" si="0"/>
        <v>QAUSC1</v>
      </c>
      <c r="B31" s="1" t="s">
        <v>265</v>
      </c>
      <c r="C31" s="1" t="s">
        <v>19</v>
      </c>
      <c r="D31" s="1" t="s">
        <v>301</v>
      </c>
      <c r="E31" s="1" t="s">
        <v>246</v>
      </c>
      <c r="F31" s="1" t="s">
        <v>161</v>
      </c>
      <c r="G31" s="1" t="s">
        <v>204</v>
      </c>
      <c r="H31" s="1" t="str">
        <f t="shared" si="1"/>
        <v>C</v>
      </c>
      <c r="I31" s="1" t="s">
        <v>196</v>
      </c>
      <c r="J31" s="1" t="s">
        <v>146</v>
      </c>
      <c r="K31" s="8">
        <f>IF(F31="Contractor",VLOOKUP(H31,'Resource Rate Card'!$N$10:$O$16,2,0),IF(I31="India",VLOOKUP(H31,'Resource Rate Card'!$N$1:$R$7,5,0),IF(I31="PHP",VLOOKUP(H31,'Resource Rate Card'!$N$1:$R$7,4,0),IF(I31="UK",VLOOKUP(H31,'Resource Rate Card'!$N$1:$R$7,3,0),IF(I31="US",VLOOKUP(H31,'Resource Rate Card'!$N$1:$R$7,2,0))))))</f>
        <v>24372.163307834468</v>
      </c>
      <c r="L31" s="25">
        <v>1</v>
      </c>
      <c r="M31" s="25">
        <v>1</v>
      </c>
      <c r="N31" s="25">
        <v>0</v>
      </c>
      <c r="O31" s="25">
        <v>0</v>
      </c>
      <c r="P31" s="25">
        <v>0</v>
      </c>
      <c r="Q31" s="25">
        <v>0</v>
      </c>
      <c r="R31" s="25">
        <v>0</v>
      </c>
      <c r="S31" s="25">
        <v>0</v>
      </c>
      <c r="T31" s="25">
        <v>0</v>
      </c>
      <c r="U31" s="25">
        <v>0</v>
      </c>
      <c r="V31" s="25">
        <v>0</v>
      </c>
      <c r="W31" s="25">
        <v>0</v>
      </c>
      <c r="X31" s="8">
        <f t="shared" si="2"/>
        <v>48744.326615668935</v>
      </c>
    </row>
    <row r="32" spans="1:24" x14ac:dyDescent="0.3">
      <c r="A32" s="1" t="str">
        <f t="shared" si="0"/>
        <v>Integration LeadIndiaC2</v>
      </c>
      <c r="B32" s="1" t="s">
        <v>264</v>
      </c>
      <c r="C32" s="1" t="s">
        <v>18</v>
      </c>
      <c r="D32" s="1" t="s">
        <v>302</v>
      </c>
      <c r="E32" s="1" t="s">
        <v>247</v>
      </c>
      <c r="F32" s="1" t="s">
        <v>161</v>
      </c>
      <c r="G32" s="1" t="s">
        <v>207</v>
      </c>
      <c r="H32" s="1" t="str">
        <f t="shared" si="1"/>
        <v>C</v>
      </c>
      <c r="I32" s="1" t="s">
        <v>194</v>
      </c>
      <c r="J32" s="1" t="s">
        <v>164</v>
      </c>
      <c r="K32" s="8">
        <f>IF(F32="Contractor",VLOOKUP(H32,'Resource Rate Card'!$N$10:$O$16,2,0),IF(I32="India",VLOOKUP(H32,'Resource Rate Card'!$N$1:$R$7,5,0),IF(I32="PHP",VLOOKUP(H32,'Resource Rate Card'!$N$1:$R$7,4,0),IF(I32="UK",VLOOKUP(H32,'Resource Rate Card'!$N$1:$R$7,3,0),IF(I32="US",VLOOKUP(H32,'Resource Rate Card'!$N$1:$R$7,2,0))))))</f>
        <v>5716.2812190976911</v>
      </c>
      <c r="L32" s="25">
        <v>1</v>
      </c>
      <c r="M32" s="25">
        <v>1</v>
      </c>
      <c r="N32" s="25">
        <v>0</v>
      </c>
      <c r="O32" s="25">
        <v>0</v>
      </c>
      <c r="P32" s="25">
        <v>0</v>
      </c>
      <c r="Q32" s="25">
        <v>0</v>
      </c>
      <c r="R32" s="25">
        <v>0</v>
      </c>
      <c r="S32" s="25">
        <v>0</v>
      </c>
      <c r="T32" s="25">
        <v>0</v>
      </c>
      <c r="U32" s="25">
        <v>0</v>
      </c>
      <c r="V32" s="25">
        <v>0</v>
      </c>
      <c r="W32" s="25">
        <v>0</v>
      </c>
      <c r="X32" s="8">
        <f t="shared" si="2"/>
        <v>11432.562438195382</v>
      </c>
    </row>
    <row r="33" spans="1:24" x14ac:dyDescent="0.3">
      <c r="A33" s="1" t="str">
        <f t="shared" si="0"/>
        <v>Genesys DeveloperIndiaC1</v>
      </c>
      <c r="B33" s="1" t="s">
        <v>264</v>
      </c>
      <c r="C33" s="1" t="s">
        <v>18</v>
      </c>
      <c r="D33" s="1" t="s">
        <v>303</v>
      </c>
      <c r="E33" s="1" t="s">
        <v>248</v>
      </c>
      <c r="F33" s="1" t="s">
        <v>161</v>
      </c>
      <c r="G33" s="1" t="s">
        <v>204</v>
      </c>
      <c r="H33" s="1" t="str">
        <f t="shared" si="1"/>
        <v>C</v>
      </c>
      <c r="I33" s="1" t="s">
        <v>194</v>
      </c>
      <c r="J33" s="1" t="s">
        <v>174</v>
      </c>
      <c r="K33" s="8">
        <f>IF(F33="Contractor",VLOOKUP(H33,'Resource Rate Card'!$N$10:$O$16,2,0),IF(I33="India",VLOOKUP(H33,'Resource Rate Card'!$N$1:$R$7,5,0),IF(I33="PHP",VLOOKUP(H33,'Resource Rate Card'!$N$1:$R$7,4,0),IF(I33="UK",VLOOKUP(H33,'Resource Rate Card'!$N$1:$R$7,3,0),IF(I33="US",VLOOKUP(H33,'Resource Rate Card'!$N$1:$R$7,2,0))))))</f>
        <v>5716.2812190976911</v>
      </c>
      <c r="L33" s="25">
        <v>1</v>
      </c>
      <c r="M33" s="25">
        <v>1</v>
      </c>
      <c r="N33" s="25">
        <v>0</v>
      </c>
      <c r="O33" s="25">
        <v>0</v>
      </c>
      <c r="P33" s="25">
        <v>0</v>
      </c>
      <c r="Q33" s="25">
        <v>0</v>
      </c>
      <c r="R33" s="25">
        <v>0</v>
      </c>
      <c r="S33" s="25">
        <v>0</v>
      </c>
      <c r="T33" s="25">
        <v>0</v>
      </c>
      <c r="U33" s="25">
        <v>0</v>
      </c>
      <c r="V33" s="25">
        <v>0</v>
      </c>
      <c r="W33" s="25">
        <v>0</v>
      </c>
      <c r="X33" s="8">
        <f t="shared" si="2"/>
        <v>11432.562438195382</v>
      </c>
    </row>
    <row r="34" spans="1:24" x14ac:dyDescent="0.3">
      <c r="A34" s="1" t="str">
        <f t="shared" si="0"/>
        <v>Program LeadUSD2</v>
      </c>
      <c r="B34" s="1" t="s">
        <v>264</v>
      </c>
      <c r="C34" s="1" t="s">
        <v>18</v>
      </c>
      <c r="D34" s="1" t="s">
        <v>304</v>
      </c>
      <c r="E34" s="1" t="s">
        <v>249</v>
      </c>
      <c r="F34" s="1" t="s">
        <v>161</v>
      </c>
      <c r="G34" s="1" t="s">
        <v>210</v>
      </c>
      <c r="H34" s="1" t="str">
        <f t="shared" si="1"/>
        <v>D</v>
      </c>
      <c r="I34" s="1" t="s">
        <v>196</v>
      </c>
      <c r="J34" s="1" t="s">
        <v>183</v>
      </c>
      <c r="K34" s="8">
        <f>IF(F34="Contractor",VLOOKUP(H34,'Resource Rate Card'!$N$10:$O$16,2,0),IF(I34="India",VLOOKUP(H34,'Resource Rate Card'!$N$1:$R$7,5,0),IF(I34="PHP",VLOOKUP(H34,'Resource Rate Card'!$N$1:$R$7,4,0),IF(I34="UK",VLOOKUP(H34,'Resource Rate Card'!$N$1:$R$7,3,0),IF(I34="US",VLOOKUP(H34,'Resource Rate Card'!$N$1:$R$7,2,0))))))</f>
        <v>34733.886102105265</v>
      </c>
      <c r="L34" s="25">
        <v>1</v>
      </c>
      <c r="M34" s="25">
        <v>1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8">
        <f t="shared" si="2"/>
        <v>69467.772204210531</v>
      </c>
    </row>
    <row r="35" spans="1:24" x14ac:dyDescent="0.3">
      <c r="A35" s="1" t="str">
        <f t="shared" si="0"/>
        <v>Google DeveloperIndiaC1</v>
      </c>
      <c r="B35" s="1" t="s">
        <v>265</v>
      </c>
      <c r="C35" s="1" t="s">
        <v>19</v>
      </c>
      <c r="D35" s="1" t="s">
        <v>305</v>
      </c>
      <c r="E35" s="1" t="s">
        <v>250</v>
      </c>
      <c r="F35" s="1" t="s">
        <v>161</v>
      </c>
      <c r="G35" s="1" t="s">
        <v>204</v>
      </c>
      <c r="H35" s="1" t="str">
        <f t="shared" si="1"/>
        <v>C</v>
      </c>
      <c r="I35" s="1" t="s">
        <v>194</v>
      </c>
      <c r="J35" s="1" t="s">
        <v>170</v>
      </c>
      <c r="K35" s="8">
        <f>IF(F35="Contractor",VLOOKUP(H35,'Resource Rate Card'!$N$10:$O$16,2,0),IF(I35="India",VLOOKUP(H35,'Resource Rate Card'!$N$1:$R$7,5,0),IF(I35="PHP",VLOOKUP(H35,'Resource Rate Card'!$N$1:$R$7,4,0),IF(I35="UK",VLOOKUP(H35,'Resource Rate Card'!$N$1:$R$7,3,0),IF(I35="US",VLOOKUP(H35,'Resource Rate Card'!$N$1:$R$7,2,0))))))</f>
        <v>5716.2812190976911</v>
      </c>
      <c r="L35" s="25">
        <v>1</v>
      </c>
      <c r="M35" s="25">
        <v>1</v>
      </c>
      <c r="N35" s="25">
        <v>0</v>
      </c>
      <c r="O35" s="25">
        <v>0</v>
      </c>
      <c r="P35" s="25">
        <v>0</v>
      </c>
      <c r="Q35" s="25">
        <v>0</v>
      </c>
      <c r="R35" s="25">
        <v>0</v>
      </c>
      <c r="S35" s="25">
        <v>0</v>
      </c>
      <c r="T35" s="25">
        <v>0</v>
      </c>
      <c r="U35" s="25">
        <v>0</v>
      </c>
      <c r="V35" s="25">
        <v>0</v>
      </c>
      <c r="W35" s="25">
        <v>0</v>
      </c>
      <c r="X35" s="8">
        <f t="shared" si="2"/>
        <v>11432.562438195382</v>
      </c>
    </row>
    <row r="36" spans="1:24" x14ac:dyDescent="0.3">
      <c r="A36" s="1" t="str">
        <f t="shared" si="0"/>
        <v>Google DeveloperIndiaB1</v>
      </c>
      <c r="B36" s="1" t="s">
        <v>265</v>
      </c>
      <c r="C36" s="1" t="s">
        <v>19</v>
      </c>
      <c r="D36" s="1" t="s">
        <v>306</v>
      </c>
      <c r="E36" s="1" t="s">
        <v>251</v>
      </c>
      <c r="F36" s="1" t="s">
        <v>161</v>
      </c>
      <c r="G36" s="1" t="s">
        <v>199</v>
      </c>
      <c r="H36" s="1" t="str">
        <f t="shared" si="1"/>
        <v>B</v>
      </c>
      <c r="I36" s="1" t="s">
        <v>194</v>
      </c>
      <c r="J36" s="1" t="s">
        <v>170</v>
      </c>
      <c r="K36" s="8">
        <f>IF(F36="Contractor",VLOOKUP(H36,'Resource Rate Card'!$N$10:$O$16,2,0),IF(I36="India",VLOOKUP(H36,'Resource Rate Card'!$N$1:$R$7,5,0),IF(I36="PHP",VLOOKUP(H36,'Resource Rate Card'!$N$1:$R$7,4,0),IF(I36="UK",VLOOKUP(H36,'Resource Rate Card'!$N$1:$R$7,3,0),IF(I36="US",VLOOKUP(H36,'Resource Rate Card'!$N$1:$R$7,2,0))))))</f>
        <v>3151.7247623942949</v>
      </c>
      <c r="L36" s="25">
        <v>1</v>
      </c>
      <c r="M36" s="25">
        <v>1</v>
      </c>
      <c r="N36" s="25">
        <v>0</v>
      </c>
      <c r="O36" s="25">
        <v>0</v>
      </c>
      <c r="P36" s="25">
        <v>0</v>
      </c>
      <c r="Q36" s="25">
        <v>0</v>
      </c>
      <c r="R36" s="25">
        <v>0</v>
      </c>
      <c r="S36" s="25">
        <v>0</v>
      </c>
      <c r="T36" s="25">
        <v>0</v>
      </c>
      <c r="U36" s="25">
        <v>0</v>
      </c>
      <c r="V36" s="25">
        <v>0</v>
      </c>
      <c r="W36" s="25">
        <v>0</v>
      </c>
      <c r="X36" s="8">
        <f t="shared" si="2"/>
        <v>6303.4495247885898</v>
      </c>
    </row>
    <row r="37" spans="1:24" x14ac:dyDescent="0.3">
      <c r="A37" s="1" t="str">
        <f t="shared" si="0"/>
        <v>Google DeveloperUSB1</v>
      </c>
      <c r="B37" s="1" t="s">
        <v>264</v>
      </c>
      <c r="C37" s="1" t="s">
        <v>18</v>
      </c>
      <c r="D37" s="1" t="s">
        <v>307</v>
      </c>
      <c r="E37" s="1" t="s">
        <v>252</v>
      </c>
      <c r="F37" s="1" t="s">
        <v>161</v>
      </c>
      <c r="G37" s="1" t="s">
        <v>199</v>
      </c>
      <c r="H37" s="1" t="str">
        <f t="shared" si="1"/>
        <v>B</v>
      </c>
      <c r="I37" s="1" t="s">
        <v>196</v>
      </c>
      <c r="J37" s="1" t="s">
        <v>170</v>
      </c>
      <c r="K37" s="8">
        <f>IF(F37="Contractor",VLOOKUP(H37,'Resource Rate Card'!$N$10:$O$16,2,0),IF(I37="India",VLOOKUP(H37,'Resource Rate Card'!$N$1:$R$7,5,0),IF(I37="PHP",VLOOKUP(H37,'Resource Rate Card'!$N$1:$R$7,4,0),IF(I37="UK",VLOOKUP(H37,'Resource Rate Card'!$N$1:$R$7,3,0),IF(I37="US",VLOOKUP(H37,'Resource Rate Card'!$N$1:$R$7,2,0))))))</f>
        <v>15690.089854166519</v>
      </c>
      <c r="L37" s="25">
        <v>1</v>
      </c>
      <c r="M37" s="25">
        <v>1</v>
      </c>
      <c r="N37" s="25">
        <v>0</v>
      </c>
      <c r="O37" s="25">
        <v>0</v>
      </c>
      <c r="P37" s="25">
        <v>0</v>
      </c>
      <c r="Q37" s="25">
        <v>0</v>
      </c>
      <c r="R37" s="25">
        <v>0</v>
      </c>
      <c r="S37" s="25">
        <v>0</v>
      </c>
      <c r="T37" s="25">
        <v>0</v>
      </c>
      <c r="U37" s="25">
        <v>0</v>
      </c>
      <c r="V37" s="25">
        <v>0</v>
      </c>
      <c r="W37" s="25">
        <v>0</v>
      </c>
      <c r="X37" s="8">
        <f t="shared" si="2"/>
        <v>31380.179708333038</v>
      </c>
    </row>
    <row r="38" spans="1:24" x14ac:dyDescent="0.3">
      <c r="A38" s="1" t="str">
        <f t="shared" si="0"/>
        <v>Project ManagerIndiaD1</v>
      </c>
      <c r="B38" s="1" t="s">
        <v>264</v>
      </c>
      <c r="C38" s="1" t="s">
        <v>18</v>
      </c>
      <c r="D38" s="1">
        <v>19030</v>
      </c>
      <c r="E38" s="1" t="s">
        <v>253</v>
      </c>
      <c r="F38" s="1" t="s">
        <v>161</v>
      </c>
      <c r="G38" s="1" t="s">
        <v>208</v>
      </c>
      <c r="H38" s="1" t="str">
        <f t="shared" si="1"/>
        <v>D</v>
      </c>
      <c r="I38" s="1" t="s">
        <v>194</v>
      </c>
      <c r="J38" s="1" t="s">
        <v>166</v>
      </c>
      <c r="K38" s="8">
        <f>IF(F38="Contractor",VLOOKUP(H38,'Resource Rate Card'!$N$10:$O$16,2,0),IF(I38="India",VLOOKUP(H38,'Resource Rate Card'!$N$1:$R$7,5,0),IF(I38="PHP",VLOOKUP(H38,'Resource Rate Card'!$N$1:$R$7,4,0),IF(I38="UK",VLOOKUP(H38,'Resource Rate Card'!$N$1:$R$7,3,0),IF(I38="US",VLOOKUP(H38,'Resource Rate Card'!$N$1:$R$7,2,0))))))</f>
        <v>10852.347890782839</v>
      </c>
      <c r="L38" s="25">
        <v>1</v>
      </c>
      <c r="M38" s="25">
        <v>1</v>
      </c>
      <c r="N38" s="25">
        <v>0</v>
      </c>
      <c r="O38" s="25">
        <v>0</v>
      </c>
      <c r="P38" s="25">
        <v>0</v>
      </c>
      <c r="Q38" s="25">
        <v>0</v>
      </c>
      <c r="R38" s="25">
        <v>0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  <c r="X38" s="8">
        <f t="shared" si="2"/>
        <v>21704.695781565679</v>
      </c>
    </row>
    <row r="39" spans="1:24" x14ac:dyDescent="0.3">
      <c r="A39" s="1" t="str">
        <f t="shared" si="0"/>
        <v>Project ManagerIndiaC1</v>
      </c>
      <c r="B39" s="1" t="s">
        <v>264</v>
      </c>
      <c r="C39" s="1" t="s">
        <v>18</v>
      </c>
      <c r="D39" s="1">
        <v>19031</v>
      </c>
      <c r="E39" s="1" t="s">
        <v>254</v>
      </c>
      <c r="F39" s="1" t="s">
        <v>161</v>
      </c>
      <c r="G39" s="1" t="s">
        <v>204</v>
      </c>
      <c r="H39" s="1" t="str">
        <f t="shared" si="1"/>
        <v>C</v>
      </c>
      <c r="I39" s="1" t="s">
        <v>194</v>
      </c>
      <c r="J39" s="1" t="s">
        <v>166</v>
      </c>
      <c r="K39" s="8">
        <f>IF(F39="Contractor",VLOOKUP(H39,'Resource Rate Card'!$N$10:$O$16,2,0),IF(I39="India",VLOOKUP(H39,'Resource Rate Card'!$N$1:$R$7,5,0),IF(I39="PHP",VLOOKUP(H39,'Resource Rate Card'!$N$1:$R$7,4,0),IF(I39="UK",VLOOKUP(H39,'Resource Rate Card'!$N$1:$R$7,3,0),IF(I39="US",VLOOKUP(H39,'Resource Rate Card'!$N$1:$R$7,2,0))))))</f>
        <v>5716.2812190976911</v>
      </c>
      <c r="L39" s="25">
        <v>1</v>
      </c>
      <c r="M39" s="25">
        <v>1</v>
      </c>
      <c r="N39" s="25">
        <v>0</v>
      </c>
      <c r="O39" s="25">
        <v>0</v>
      </c>
      <c r="P39" s="25">
        <v>0</v>
      </c>
      <c r="Q39" s="25">
        <v>0</v>
      </c>
      <c r="R39" s="25">
        <v>0</v>
      </c>
      <c r="S39" s="25">
        <v>0</v>
      </c>
      <c r="T39" s="25">
        <v>0</v>
      </c>
      <c r="U39" s="25">
        <v>0</v>
      </c>
      <c r="V39" s="25">
        <v>0</v>
      </c>
      <c r="W39" s="25">
        <v>0</v>
      </c>
      <c r="X39" s="8">
        <f t="shared" si="2"/>
        <v>11432.562438195382</v>
      </c>
    </row>
    <row r="40" spans="1:24" x14ac:dyDescent="0.3">
      <c r="A40" s="1" t="str">
        <f t="shared" si="0"/>
        <v>Google Delivery LeadIndiaD1</v>
      </c>
      <c r="B40" s="1" t="s">
        <v>265</v>
      </c>
      <c r="C40" s="1" t="s">
        <v>19</v>
      </c>
      <c r="D40" s="1">
        <v>19032</v>
      </c>
      <c r="E40" s="1" t="s">
        <v>255</v>
      </c>
      <c r="F40" s="1" t="s">
        <v>161</v>
      </c>
      <c r="G40" s="1" t="s">
        <v>208</v>
      </c>
      <c r="H40" s="1" t="str">
        <f t="shared" si="1"/>
        <v>D</v>
      </c>
      <c r="I40" s="1" t="s">
        <v>194</v>
      </c>
      <c r="J40" s="1" t="s">
        <v>163</v>
      </c>
      <c r="K40" s="8">
        <f>IF(F40="Contractor",VLOOKUP(H40,'Resource Rate Card'!$N$10:$O$16,2,0),IF(I40="India",VLOOKUP(H40,'Resource Rate Card'!$N$1:$R$7,5,0),IF(I40="PHP",VLOOKUP(H40,'Resource Rate Card'!$N$1:$R$7,4,0),IF(I40="UK",VLOOKUP(H40,'Resource Rate Card'!$N$1:$R$7,3,0),IF(I40="US",VLOOKUP(H40,'Resource Rate Card'!$N$1:$R$7,2,0))))))</f>
        <v>10852.347890782839</v>
      </c>
      <c r="L40" s="25">
        <v>1</v>
      </c>
      <c r="M40" s="25">
        <v>1</v>
      </c>
      <c r="N40" s="25">
        <v>0</v>
      </c>
      <c r="O40" s="25">
        <v>0</v>
      </c>
      <c r="P40" s="25">
        <v>0</v>
      </c>
      <c r="Q40" s="25">
        <v>0</v>
      </c>
      <c r="R40" s="25">
        <v>0</v>
      </c>
      <c r="S40" s="25">
        <v>0</v>
      </c>
      <c r="T40" s="25">
        <v>0</v>
      </c>
      <c r="U40" s="25">
        <v>0</v>
      </c>
      <c r="V40" s="25">
        <v>0</v>
      </c>
      <c r="W40" s="25">
        <v>0</v>
      </c>
      <c r="X40" s="8">
        <f t="shared" si="2"/>
        <v>21704.695781565679</v>
      </c>
    </row>
    <row r="41" spans="1:24" x14ac:dyDescent="0.3">
      <c r="A41" s="1" t="str">
        <f t="shared" si="0"/>
        <v>BI Dashboard LeadIndiaD1</v>
      </c>
      <c r="B41" s="1" t="s">
        <v>265</v>
      </c>
      <c r="C41" s="1" t="s">
        <v>19</v>
      </c>
      <c r="D41" s="1">
        <v>19033</v>
      </c>
      <c r="E41" s="1" t="s">
        <v>256</v>
      </c>
      <c r="F41" s="1" t="s">
        <v>161</v>
      </c>
      <c r="G41" s="1" t="s">
        <v>208</v>
      </c>
      <c r="H41" s="1" t="str">
        <f t="shared" si="1"/>
        <v>D</v>
      </c>
      <c r="I41" s="1" t="s">
        <v>194</v>
      </c>
      <c r="J41" s="1" t="s">
        <v>171</v>
      </c>
      <c r="K41" s="8">
        <f>IF(F41="Contractor",VLOOKUP(H41,'Resource Rate Card'!$N$10:$O$16,2,0),IF(I41="India",VLOOKUP(H41,'Resource Rate Card'!$N$1:$R$7,5,0),IF(I41="PHP",VLOOKUP(H41,'Resource Rate Card'!$N$1:$R$7,4,0),IF(I41="UK",VLOOKUP(H41,'Resource Rate Card'!$N$1:$R$7,3,0),IF(I41="US",VLOOKUP(H41,'Resource Rate Card'!$N$1:$R$7,2,0))))))</f>
        <v>10852.347890782839</v>
      </c>
      <c r="L41" s="25">
        <v>1</v>
      </c>
      <c r="M41" s="25">
        <v>1</v>
      </c>
      <c r="N41" s="25">
        <v>0</v>
      </c>
      <c r="O41" s="25">
        <v>0</v>
      </c>
      <c r="P41" s="25">
        <v>0</v>
      </c>
      <c r="Q41" s="25">
        <v>0</v>
      </c>
      <c r="R41" s="25">
        <v>0</v>
      </c>
      <c r="S41" s="25">
        <v>0</v>
      </c>
      <c r="T41" s="25">
        <v>0</v>
      </c>
      <c r="U41" s="25">
        <v>0</v>
      </c>
      <c r="V41" s="25">
        <v>0</v>
      </c>
      <c r="W41" s="25">
        <v>0</v>
      </c>
      <c r="X41" s="8">
        <f t="shared" si="2"/>
        <v>21704.695781565679</v>
      </c>
    </row>
    <row r="42" spans="1:24" x14ac:dyDescent="0.3">
      <c r="A42" s="1" t="str">
        <f t="shared" si="0"/>
        <v>ETL DeveloperIndiaC1</v>
      </c>
      <c r="B42" s="1" t="s">
        <v>264</v>
      </c>
      <c r="C42" s="1" t="s">
        <v>18</v>
      </c>
      <c r="D42" s="1" t="s">
        <v>308</v>
      </c>
      <c r="E42" s="1" t="s">
        <v>257</v>
      </c>
      <c r="F42" s="1" t="s">
        <v>161</v>
      </c>
      <c r="G42" s="1" t="s">
        <v>204</v>
      </c>
      <c r="H42" s="1" t="str">
        <f t="shared" si="1"/>
        <v>C</v>
      </c>
      <c r="I42" s="1" t="s">
        <v>194</v>
      </c>
      <c r="J42" s="1" t="s">
        <v>173</v>
      </c>
      <c r="K42" s="8">
        <f>IF(F42="Contractor",VLOOKUP(H42,'Resource Rate Card'!$N$10:$O$16,2,0),IF(I42="India",VLOOKUP(H42,'Resource Rate Card'!$N$1:$R$7,5,0),IF(I42="PHP",VLOOKUP(H42,'Resource Rate Card'!$N$1:$R$7,4,0),IF(I42="UK",VLOOKUP(H42,'Resource Rate Card'!$N$1:$R$7,3,0),IF(I42="US",VLOOKUP(H42,'Resource Rate Card'!$N$1:$R$7,2,0))))))</f>
        <v>5716.2812190976911</v>
      </c>
      <c r="L42" s="25">
        <v>1</v>
      </c>
      <c r="M42" s="25">
        <v>1</v>
      </c>
      <c r="N42" s="25">
        <v>0</v>
      </c>
      <c r="O42" s="25">
        <v>0</v>
      </c>
      <c r="P42" s="25">
        <v>0</v>
      </c>
      <c r="Q42" s="25">
        <v>0</v>
      </c>
      <c r="R42" s="25">
        <v>0</v>
      </c>
      <c r="S42" s="25">
        <v>0</v>
      </c>
      <c r="T42" s="25">
        <v>0</v>
      </c>
      <c r="U42" s="25">
        <v>0</v>
      </c>
      <c r="V42" s="25">
        <v>0</v>
      </c>
      <c r="W42" s="25">
        <v>0</v>
      </c>
      <c r="X42" s="8">
        <f t="shared" si="2"/>
        <v>11432.562438195382</v>
      </c>
    </row>
    <row r="43" spans="1:24" x14ac:dyDescent="0.3">
      <c r="A43" s="1" t="str">
        <f t="shared" si="0"/>
        <v>BI Dashboard UI DeveloperIndiaC1</v>
      </c>
      <c r="B43" s="1" t="s">
        <v>264</v>
      </c>
      <c r="C43" s="1" t="s">
        <v>18</v>
      </c>
      <c r="D43" s="1" t="s">
        <v>309</v>
      </c>
      <c r="E43" s="1" t="s">
        <v>258</v>
      </c>
      <c r="F43" s="1" t="s">
        <v>161</v>
      </c>
      <c r="G43" s="1" t="s">
        <v>204</v>
      </c>
      <c r="H43" s="1" t="str">
        <f t="shared" si="1"/>
        <v>C</v>
      </c>
      <c r="I43" s="1" t="s">
        <v>194</v>
      </c>
      <c r="J43" s="1" t="s">
        <v>172</v>
      </c>
      <c r="K43" s="8">
        <f>IF(F43="Contractor",VLOOKUP(H43,'Resource Rate Card'!$N$10:$O$16,2,0),IF(I43="India",VLOOKUP(H43,'Resource Rate Card'!$N$1:$R$7,5,0),IF(I43="PHP",VLOOKUP(H43,'Resource Rate Card'!$N$1:$R$7,4,0),IF(I43="UK",VLOOKUP(H43,'Resource Rate Card'!$N$1:$R$7,3,0),IF(I43="US",VLOOKUP(H43,'Resource Rate Card'!$N$1:$R$7,2,0))))))</f>
        <v>5716.2812190976911</v>
      </c>
      <c r="L43" s="25">
        <v>1</v>
      </c>
      <c r="M43" s="25">
        <v>1</v>
      </c>
      <c r="N43" s="25">
        <v>0</v>
      </c>
      <c r="O43" s="25">
        <v>0</v>
      </c>
      <c r="P43" s="25">
        <v>0</v>
      </c>
      <c r="Q43" s="25">
        <v>0</v>
      </c>
      <c r="R43" s="25">
        <v>0</v>
      </c>
      <c r="S43" s="25">
        <v>0</v>
      </c>
      <c r="T43" s="25">
        <v>0</v>
      </c>
      <c r="U43" s="25">
        <v>0</v>
      </c>
      <c r="V43" s="25">
        <v>0</v>
      </c>
      <c r="W43" s="25">
        <v>0</v>
      </c>
      <c r="X43" s="8">
        <f t="shared" si="2"/>
        <v>11432.562438195382</v>
      </c>
    </row>
    <row r="44" spans="1:24" x14ac:dyDescent="0.3">
      <c r="A44" s="1" t="str">
        <f t="shared" si="0"/>
        <v>CX Design LeadUSD1</v>
      </c>
      <c r="B44" s="1" t="s">
        <v>264</v>
      </c>
      <c r="C44" s="1" t="s">
        <v>18</v>
      </c>
      <c r="D44" s="1" t="s">
        <v>310</v>
      </c>
      <c r="E44" s="1" t="s">
        <v>259</v>
      </c>
      <c r="F44" s="1" t="s">
        <v>161</v>
      </c>
      <c r="G44" s="1" t="s">
        <v>208</v>
      </c>
      <c r="H44" s="1" t="str">
        <f t="shared" si="1"/>
        <v>D</v>
      </c>
      <c r="I44" s="1" t="s">
        <v>196</v>
      </c>
      <c r="J44" s="1" t="s">
        <v>168</v>
      </c>
      <c r="K44" s="8">
        <f>IF(F44="Contractor",VLOOKUP(H44,'Resource Rate Card'!$N$10:$O$16,2,0),IF(I44="India",VLOOKUP(H44,'Resource Rate Card'!$N$1:$R$7,5,0),IF(I44="PHP",VLOOKUP(H44,'Resource Rate Card'!$N$1:$R$7,4,0),IF(I44="UK",VLOOKUP(H44,'Resource Rate Card'!$N$1:$R$7,3,0),IF(I44="US",VLOOKUP(H44,'Resource Rate Card'!$N$1:$R$7,2,0))))))</f>
        <v>34733.886102105265</v>
      </c>
      <c r="L44" s="25">
        <v>1</v>
      </c>
      <c r="M44" s="25">
        <v>1</v>
      </c>
      <c r="N44" s="25">
        <v>0</v>
      </c>
      <c r="O44" s="25">
        <v>0</v>
      </c>
      <c r="P44" s="25">
        <v>0</v>
      </c>
      <c r="Q44" s="25">
        <v>0</v>
      </c>
      <c r="R44" s="25">
        <v>0</v>
      </c>
      <c r="S44" s="25">
        <v>0</v>
      </c>
      <c r="T44" s="25">
        <v>0</v>
      </c>
      <c r="U44" s="25">
        <v>0</v>
      </c>
      <c r="V44" s="25">
        <v>0</v>
      </c>
      <c r="W44" s="25">
        <v>0</v>
      </c>
      <c r="X44" s="8">
        <f t="shared" si="2"/>
        <v>69467.772204210531</v>
      </c>
    </row>
    <row r="45" spans="1:24" x14ac:dyDescent="0.3">
      <c r="A45" s="1" t="str">
        <f t="shared" si="0"/>
        <v>Overall Program LeadPHPE1</v>
      </c>
      <c r="B45" s="1" t="s">
        <v>265</v>
      </c>
      <c r="C45" s="1" t="s">
        <v>19</v>
      </c>
      <c r="D45" s="1" t="s">
        <v>311</v>
      </c>
      <c r="E45" s="1" t="s">
        <v>260</v>
      </c>
      <c r="F45" s="1" t="s">
        <v>161</v>
      </c>
      <c r="G45" s="1" t="s">
        <v>211</v>
      </c>
      <c r="H45" s="1" t="str">
        <f t="shared" si="1"/>
        <v>E</v>
      </c>
      <c r="I45" s="1" t="s">
        <v>198</v>
      </c>
      <c r="J45" s="1" t="s">
        <v>212</v>
      </c>
      <c r="K45" s="8">
        <f>IF(F45="Contractor",VLOOKUP(H45,'Resource Rate Card'!$N$10:$O$16,2,0),IF(I45="India",VLOOKUP(H45,'Resource Rate Card'!$N$1:$R$7,5,0),IF(I45="PHP",VLOOKUP(H45,'Resource Rate Card'!$N$1:$R$7,4,0),IF(I45="UK",VLOOKUP(H45,'Resource Rate Card'!$N$1:$R$7,3,0),IF(I45="US",VLOOKUP(H45,'Resource Rate Card'!$N$1:$R$7,2,0))))))</f>
        <v>21954.902829030791</v>
      </c>
      <c r="L45" s="25">
        <v>1</v>
      </c>
      <c r="M45" s="25">
        <v>1</v>
      </c>
      <c r="N45" s="25">
        <v>0</v>
      </c>
      <c r="O45" s="25">
        <v>0</v>
      </c>
      <c r="P45" s="25">
        <v>0</v>
      </c>
      <c r="Q45" s="25">
        <v>0</v>
      </c>
      <c r="R45" s="25">
        <v>0</v>
      </c>
      <c r="S45" s="25">
        <v>0</v>
      </c>
      <c r="T45" s="25">
        <v>0</v>
      </c>
      <c r="U45" s="25">
        <v>0</v>
      </c>
      <c r="V45" s="25">
        <v>0</v>
      </c>
      <c r="W45" s="25">
        <v>0</v>
      </c>
      <c r="X45" s="8">
        <f t="shared" si="2"/>
        <v>43909.805658061581</v>
      </c>
    </row>
    <row r="46" spans="1:24" x14ac:dyDescent="0.3">
      <c r="A46" s="1" t="str">
        <f t="shared" si="0"/>
        <v>Engagement LeadUSE1</v>
      </c>
      <c r="B46" s="1" t="s">
        <v>265</v>
      </c>
      <c r="C46" s="1" t="s">
        <v>19</v>
      </c>
      <c r="D46" s="1" t="s">
        <v>312</v>
      </c>
      <c r="E46" s="1" t="s">
        <v>261</v>
      </c>
      <c r="F46" s="1" t="s">
        <v>161</v>
      </c>
      <c r="G46" s="1" t="s">
        <v>211</v>
      </c>
      <c r="H46" s="1" t="str">
        <f t="shared" si="1"/>
        <v>E</v>
      </c>
      <c r="I46" s="1" t="s">
        <v>196</v>
      </c>
      <c r="J46" s="1" t="s">
        <v>213</v>
      </c>
      <c r="K46" s="8">
        <f>IF(F46="Contractor",VLOOKUP(H46,'Resource Rate Card'!$N$10:$O$16,2,0),IF(I46="India",VLOOKUP(H46,'Resource Rate Card'!$N$1:$R$7,5,0),IF(I46="PHP",VLOOKUP(H46,'Resource Rate Card'!$N$1:$R$7,4,0),IF(I46="UK",VLOOKUP(H46,'Resource Rate Card'!$N$1:$R$7,3,0),IF(I46="US",VLOOKUP(H46,'Resource Rate Card'!$N$1:$R$7,2,0))))))</f>
        <v>38837.378958094479</v>
      </c>
      <c r="L46" s="25">
        <v>1</v>
      </c>
      <c r="M46" s="25">
        <v>1</v>
      </c>
      <c r="N46" s="25">
        <v>0</v>
      </c>
      <c r="O46" s="25">
        <v>0</v>
      </c>
      <c r="P46" s="25">
        <v>0</v>
      </c>
      <c r="Q46" s="25">
        <v>0</v>
      </c>
      <c r="R46" s="25">
        <v>0</v>
      </c>
      <c r="S46" s="25">
        <v>0</v>
      </c>
      <c r="T46" s="25">
        <v>0</v>
      </c>
      <c r="U46" s="25">
        <v>0</v>
      </c>
      <c r="V46" s="25">
        <v>0</v>
      </c>
      <c r="W46" s="25">
        <v>0</v>
      </c>
      <c r="X46" s="8">
        <f t="shared" si="2"/>
        <v>77674.757916188959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785B038-FFDD-494A-B1FB-FB1367EAFC76}">
          <x14:formula1>
            <xm:f>'Resource Rate Card'!$J$18:$J$28</xm:f>
          </x14:formula1>
          <xm:sqref>G2</xm:sqref>
        </x14:dataValidation>
        <x14:dataValidation type="list" allowBlank="1" showInputMessage="1" showErrorMessage="1" xr:uid="{0A679805-180F-4B41-A6B3-8647E5E81ADA}">
          <x14:formula1>
            <xm:f>'Resource Rate Card'!$E$2:$E$16</xm:f>
          </x14:formula1>
          <xm:sqref>J2:J21</xm:sqref>
        </x14:dataValidation>
        <x14:dataValidation type="list" allowBlank="1" showInputMessage="1" showErrorMessage="1" xr:uid="{9C910335-081E-4FBC-8579-8CF847108B06}">
          <x14:formula1>
            <xm:f>'Resource Rate Card'!$C$2:$C$3</xm:f>
          </x14:formula1>
          <xm:sqref>F2:F46 I2:I15 G3:G15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77F98-3D22-4AD1-80DC-6A86B0885250}">
  <dimension ref="A1:J3"/>
  <sheetViews>
    <sheetView zoomScale="90" zoomScaleNormal="90" workbookViewId="0">
      <pane ySplit="1" topLeftCell="A2" activePane="bottomLeft" state="frozen"/>
      <selection pane="bottomLeft" activeCell="A2" sqref="A2:B3"/>
    </sheetView>
  </sheetViews>
  <sheetFormatPr defaultRowHeight="13" x14ac:dyDescent="0.3"/>
  <cols>
    <col min="1" max="1" width="10.7265625" style="31" bestFit="1" customWidth="1"/>
    <col min="2" max="2" width="17.54296875" style="31" bestFit="1" customWidth="1"/>
    <col min="3" max="3" width="6.1796875" style="36" bestFit="1" customWidth="1"/>
    <col min="4" max="4" width="12.453125" style="37" bestFit="1" customWidth="1"/>
    <col min="5" max="5" width="19.36328125" style="31" bestFit="1" customWidth="1"/>
    <col min="6" max="6" width="16.1796875" style="37" bestFit="1" customWidth="1"/>
    <col min="7" max="7" width="9.26953125" style="31" bestFit="1" customWidth="1"/>
    <col min="8" max="8" width="14.26953125" style="31" bestFit="1" customWidth="1"/>
    <col min="9" max="9" width="10.90625" style="31" bestFit="1" customWidth="1"/>
    <col min="10" max="10" width="12.26953125" style="31" bestFit="1" customWidth="1"/>
    <col min="11" max="16384" width="8.7265625" style="31"/>
  </cols>
  <sheetData>
    <row r="1" spans="1:10" x14ac:dyDescent="0.3">
      <c r="A1" s="3" t="s">
        <v>262</v>
      </c>
      <c r="B1" s="3" t="s">
        <v>0</v>
      </c>
      <c r="C1" s="3" t="s">
        <v>327</v>
      </c>
      <c r="D1" s="24" t="s">
        <v>332</v>
      </c>
      <c r="E1" s="3" t="s">
        <v>333</v>
      </c>
      <c r="F1" s="24" t="s">
        <v>336</v>
      </c>
      <c r="G1" s="3" t="s">
        <v>331</v>
      </c>
      <c r="H1" s="3" t="s">
        <v>335</v>
      </c>
      <c r="I1" s="3" t="s">
        <v>131</v>
      </c>
      <c r="J1" s="3" t="s">
        <v>334</v>
      </c>
    </row>
    <row r="2" spans="1:10" x14ac:dyDescent="0.3">
      <c r="A2" s="1" t="s">
        <v>264</v>
      </c>
      <c r="B2" s="1" t="s">
        <v>18</v>
      </c>
      <c r="C2" s="36">
        <v>46048</v>
      </c>
      <c r="D2" s="38">
        <f>SUMIFS('Monthly Resource Allocation'!X:X,'Monthly Resource Allocation'!B:B,'Project Burn Summary'!A2)</f>
        <v>459717.11845767807</v>
      </c>
      <c r="E2" s="39">
        <f>SUMIF(A:A,A2,D:D)</f>
        <v>459717.11845767807</v>
      </c>
      <c r="F2" s="38">
        <f>VLOOKUP(A2,'Project Master'!A:E,5,)-E2</f>
        <v>9540282.8815423213</v>
      </c>
      <c r="G2" s="31" t="str">
        <f>IFERROR(IF(E2/VLOOKUP(A2,'Project Master'!A:E,5,0)&lt;0.7,"Green",IF(E2/VLOOKUP(A2,'Project Master'!A:E,5,0)&lt;0.9,"Amber","Red")),"")</f>
        <v>Green</v>
      </c>
      <c r="H2" s="39">
        <f>VLOOKUP(A2,'Project Master'!A:G,7,0)*(E2/VLOOKUP(A2,'Project Master'!A:G,5,0))</f>
        <v>597632.25399498153</v>
      </c>
      <c r="I2" s="39">
        <f>H2-E2</f>
        <v>137915.13553730346</v>
      </c>
      <c r="J2" s="31">
        <f>IFERROR(I2/H2,0)</f>
        <v>0.23076923076923081</v>
      </c>
    </row>
    <row r="3" spans="1:10" x14ac:dyDescent="0.3">
      <c r="A3" s="1" t="s">
        <v>265</v>
      </c>
      <c r="B3" s="1" t="s">
        <v>19</v>
      </c>
      <c r="C3" s="36">
        <v>46048</v>
      </c>
      <c r="D3" s="38">
        <f>SUMIFS('Monthly Resource Allocation'!X:X,'Monthly Resource Allocation'!B:B,'Project Burn Summary'!A3)</f>
        <v>378413.2851536448</v>
      </c>
      <c r="E3" s="39">
        <f>SUMIF(A:A,A3,D:D)</f>
        <v>378413.2851536448</v>
      </c>
      <c r="F3" s="38">
        <f>VLOOKUP(A3,'Project Master'!A:E,5,)-E3</f>
        <v>7121586.7148463549</v>
      </c>
      <c r="G3" s="31" t="str">
        <f>IFERROR(IF(E3/VLOOKUP(A3,'Project Master'!A:E,5,0)&lt;0.7,"Green",IF(E3/VLOOKUP(A3,'Project Master'!A:E,5,0)&lt;0.9,"Amber","Red")),"")</f>
        <v>Green</v>
      </c>
      <c r="H3" s="39">
        <f>VLOOKUP(A3,'Project Master'!A:G,7,0)*(E3/VLOOKUP(A3,'Project Master'!A:G,5,0))</f>
        <v>479323.49452795007</v>
      </c>
      <c r="I3" s="39">
        <f>H3-E3</f>
        <v>100910.20937430527</v>
      </c>
      <c r="J3" s="31">
        <f>IFERROR(I3/H3,0)</f>
        <v>0.21052631578947367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A5676-64E7-49AE-83FD-94CEE156B786}">
  <dimension ref="A1:H46"/>
  <sheetViews>
    <sheetView zoomScale="90" zoomScaleNormal="90" workbookViewId="0">
      <pane ySplit="1" topLeftCell="A2" activePane="bottomLeft" state="frozen"/>
      <selection pane="bottomLeft" sqref="A1:H1"/>
    </sheetView>
  </sheetViews>
  <sheetFormatPr defaultRowHeight="14.5" x14ac:dyDescent="0.35"/>
  <cols>
    <col min="1" max="1" width="11.7265625" bestFit="1" customWidth="1"/>
    <col min="2" max="2" width="19" bestFit="1" customWidth="1"/>
    <col min="3" max="3" width="18.1796875" bestFit="1" customWidth="1"/>
    <col min="4" max="4" width="24.08984375" bestFit="1" customWidth="1"/>
    <col min="5" max="5" width="4.6328125" bestFit="1" customWidth="1"/>
    <col min="6" max="6" width="6.6328125" bestFit="1" customWidth="1"/>
    <col min="7" max="7" width="11" bestFit="1" customWidth="1"/>
    <col min="8" max="8" width="15.54296875" bestFit="1" customWidth="1"/>
  </cols>
  <sheetData>
    <row r="1" spans="1:8" x14ac:dyDescent="0.35">
      <c r="A1" s="34" t="s">
        <v>262</v>
      </c>
      <c r="B1" s="34" t="s">
        <v>0</v>
      </c>
      <c r="C1" s="34" t="s">
        <v>337</v>
      </c>
      <c r="D1" s="34" t="s">
        <v>338</v>
      </c>
      <c r="E1" s="34" t="s">
        <v>144</v>
      </c>
      <c r="F1" s="34" t="s">
        <v>327</v>
      </c>
      <c r="G1" s="34" t="s">
        <v>330</v>
      </c>
      <c r="H1" s="34" t="s">
        <v>339</v>
      </c>
    </row>
    <row r="2" spans="1:8" x14ac:dyDescent="0.35">
      <c r="A2" t="s">
        <v>264</v>
      </c>
      <c r="B2" t="s">
        <v>18</v>
      </c>
      <c r="C2" t="s">
        <v>273</v>
      </c>
      <c r="D2" t="s">
        <v>217</v>
      </c>
    </row>
    <row r="3" spans="1:8" x14ac:dyDescent="0.35">
      <c r="A3" t="s">
        <v>264</v>
      </c>
      <c r="B3" t="s">
        <v>18</v>
      </c>
      <c r="C3" t="s">
        <v>274</v>
      </c>
      <c r="D3" t="s">
        <v>218</v>
      </c>
    </row>
    <row r="4" spans="1:8" x14ac:dyDescent="0.35">
      <c r="A4" t="s">
        <v>264</v>
      </c>
      <c r="B4" t="s">
        <v>18</v>
      </c>
      <c r="C4" t="s">
        <v>275</v>
      </c>
      <c r="D4" t="s">
        <v>219</v>
      </c>
    </row>
    <row r="5" spans="1:8" x14ac:dyDescent="0.35">
      <c r="A5" t="s">
        <v>265</v>
      </c>
      <c r="B5" t="s">
        <v>19</v>
      </c>
      <c r="C5">
        <v>10125</v>
      </c>
      <c r="D5" t="s">
        <v>220</v>
      </c>
    </row>
    <row r="6" spans="1:8" x14ac:dyDescent="0.35">
      <c r="A6" t="s">
        <v>265</v>
      </c>
      <c r="B6" t="s">
        <v>19</v>
      </c>
      <c r="C6" t="s">
        <v>276</v>
      </c>
      <c r="D6" t="s">
        <v>221</v>
      </c>
    </row>
    <row r="7" spans="1:8" x14ac:dyDescent="0.35">
      <c r="A7" t="s">
        <v>264</v>
      </c>
      <c r="B7" t="s">
        <v>18</v>
      </c>
      <c r="C7" t="s">
        <v>277</v>
      </c>
      <c r="D7" t="s">
        <v>222</v>
      </c>
    </row>
    <row r="8" spans="1:8" x14ac:dyDescent="0.35">
      <c r="A8" t="s">
        <v>264</v>
      </c>
      <c r="B8" t="s">
        <v>18</v>
      </c>
      <c r="C8" t="s">
        <v>278</v>
      </c>
      <c r="D8" t="s">
        <v>223</v>
      </c>
    </row>
    <row r="9" spans="1:8" x14ac:dyDescent="0.35">
      <c r="A9" t="s">
        <v>264</v>
      </c>
      <c r="B9" t="s">
        <v>18</v>
      </c>
      <c r="C9" t="s">
        <v>279</v>
      </c>
      <c r="D9" t="s">
        <v>224</v>
      </c>
    </row>
    <row r="10" spans="1:8" x14ac:dyDescent="0.35">
      <c r="A10" t="s">
        <v>265</v>
      </c>
      <c r="B10" t="s">
        <v>19</v>
      </c>
      <c r="C10" t="s">
        <v>280</v>
      </c>
      <c r="D10" t="s">
        <v>225</v>
      </c>
    </row>
    <row r="11" spans="1:8" x14ac:dyDescent="0.35">
      <c r="A11" t="s">
        <v>265</v>
      </c>
      <c r="B11" t="s">
        <v>19</v>
      </c>
      <c r="C11" t="s">
        <v>281</v>
      </c>
      <c r="D11" t="s">
        <v>226</v>
      </c>
    </row>
    <row r="12" spans="1:8" x14ac:dyDescent="0.35">
      <c r="A12" t="s">
        <v>264</v>
      </c>
      <c r="B12" t="s">
        <v>18</v>
      </c>
      <c r="C12" t="s">
        <v>282</v>
      </c>
      <c r="D12" t="s">
        <v>227</v>
      </c>
    </row>
    <row r="13" spans="1:8" x14ac:dyDescent="0.35">
      <c r="A13" t="s">
        <v>264</v>
      </c>
      <c r="B13" t="s">
        <v>18</v>
      </c>
      <c r="C13" t="s">
        <v>283</v>
      </c>
      <c r="D13" t="s">
        <v>228</v>
      </c>
    </row>
    <row r="14" spans="1:8" x14ac:dyDescent="0.35">
      <c r="A14" t="s">
        <v>264</v>
      </c>
      <c r="B14" t="s">
        <v>18</v>
      </c>
      <c r="C14" t="s">
        <v>284</v>
      </c>
      <c r="D14" t="s">
        <v>229</v>
      </c>
    </row>
    <row r="15" spans="1:8" x14ac:dyDescent="0.35">
      <c r="A15" t="s">
        <v>265</v>
      </c>
      <c r="B15" t="s">
        <v>19</v>
      </c>
      <c r="C15" t="s">
        <v>285</v>
      </c>
      <c r="D15" t="s">
        <v>230</v>
      </c>
    </row>
    <row r="16" spans="1:8" x14ac:dyDescent="0.35">
      <c r="A16" t="s">
        <v>265</v>
      </c>
      <c r="B16" t="s">
        <v>19</v>
      </c>
      <c r="C16" t="s">
        <v>286</v>
      </c>
      <c r="D16" t="s">
        <v>231</v>
      </c>
    </row>
    <row r="17" spans="1:4" x14ac:dyDescent="0.35">
      <c r="A17" t="s">
        <v>264</v>
      </c>
      <c r="B17" t="s">
        <v>18</v>
      </c>
      <c r="C17" t="s">
        <v>287</v>
      </c>
      <c r="D17" t="s">
        <v>232</v>
      </c>
    </row>
    <row r="18" spans="1:4" x14ac:dyDescent="0.35">
      <c r="A18" t="s">
        <v>264</v>
      </c>
      <c r="B18" t="s">
        <v>18</v>
      </c>
      <c r="C18" t="s">
        <v>288</v>
      </c>
      <c r="D18" t="s">
        <v>233</v>
      </c>
    </row>
    <row r="19" spans="1:4" x14ac:dyDescent="0.35">
      <c r="A19" t="s">
        <v>264</v>
      </c>
      <c r="B19" t="s">
        <v>18</v>
      </c>
      <c r="C19" t="s">
        <v>289</v>
      </c>
      <c r="D19" t="s">
        <v>234</v>
      </c>
    </row>
    <row r="20" spans="1:4" x14ac:dyDescent="0.35">
      <c r="A20" t="s">
        <v>265</v>
      </c>
      <c r="B20" t="s">
        <v>19</v>
      </c>
      <c r="C20" t="s">
        <v>290</v>
      </c>
      <c r="D20" t="s">
        <v>235</v>
      </c>
    </row>
    <row r="21" spans="1:4" x14ac:dyDescent="0.35">
      <c r="A21" t="s">
        <v>265</v>
      </c>
      <c r="B21" t="s">
        <v>19</v>
      </c>
      <c r="C21" t="s">
        <v>291</v>
      </c>
      <c r="D21" t="s">
        <v>236</v>
      </c>
    </row>
    <row r="22" spans="1:4" x14ac:dyDescent="0.35">
      <c r="A22" t="s">
        <v>264</v>
      </c>
      <c r="B22" t="s">
        <v>18</v>
      </c>
      <c r="C22" t="s">
        <v>292</v>
      </c>
      <c r="D22" t="s">
        <v>237</v>
      </c>
    </row>
    <row r="23" spans="1:4" x14ac:dyDescent="0.35">
      <c r="A23" t="s">
        <v>264</v>
      </c>
      <c r="B23" t="s">
        <v>18</v>
      </c>
      <c r="C23" t="s">
        <v>293</v>
      </c>
      <c r="D23" t="s">
        <v>238</v>
      </c>
    </row>
    <row r="24" spans="1:4" x14ac:dyDescent="0.35">
      <c r="A24" t="s">
        <v>264</v>
      </c>
      <c r="B24" t="s">
        <v>18</v>
      </c>
      <c r="C24" t="s">
        <v>294</v>
      </c>
      <c r="D24" t="s">
        <v>239</v>
      </c>
    </row>
    <row r="25" spans="1:4" x14ac:dyDescent="0.35">
      <c r="A25" t="s">
        <v>265</v>
      </c>
      <c r="B25" t="s">
        <v>19</v>
      </c>
      <c r="C25" t="s">
        <v>295</v>
      </c>
      <c r="D25" t="s">
        <v>240</v>
      </c>
    </row>
    <row r="26" spans="1:4" x14ac:dyDescent="0.35">
      <c r="A26" t="s">
        <v>265</v>
      </c>
      <c r="B26" t="s">
        <v>19</v>
      </c>
      <c r="C26" t="s">
        <v>296</v>
      </c>
      <c r="D26" t="s">
        <v>241</v>
      </c>
    </row>
    <row r="27" spans="1:4" x14ac:dyDescent="0.35">
      <c r="A27" t="s">
        <v>264</v>
      </c>
      <c r="B27" t="s">
        <v>18</v>
      </c>
      <c r="C27" t="s">
        <v>297</v>
      </c>
      <c r="D27" t="s">
        <v>242</v>
      </c>
    </row>
    <row r="28" spans="1:4" x14ac:dyDescent="0.35">
      <c r="A28" t="s">
        <v>264</v>
      </c>
      <c r="B28" t="s">
        <v>18</v>
      </c>
      <c r="C28" t="s">
        <v>298</v>
      </c>
      <c r="D28" t="s">
        <v>243</v>
      </c>
    </row>
    <row r="29" spans="1:4" x14ac:dyDescent="0.35">
      <c r="A29" t="s">
        <v>264</v>
      </c>
      <c r="B29" t="s">
        <v>18</v>
      </c>
      <c r="C29" t="s">
        <v>299</v>
      </c>
      <c r="D29" t="s">
        <v>244</v>
      </c>
    </row>
    <row r="30" spans="1:4" x14ac:dyDescent="0.35">
      <c r="A30" t="s">
        <v>265</v>
      </c>
      <c r="B30" t="s">
        <v>19</v>
      </c>
      <c r="C30" t="s">
        <v>300</v>
      </c>
      <c r="D30" t="s">
        <v>245</v>
      </c>
    </row>
    <row r="31" spans="1:4" x14ac:dyDescent="0.35">
      <c r="A31" t="s">
        <v>265</v>
      </c>
      <c r="B31" t="s">
        <v>19</v>
      </c>
      <c r="C31" t="s">
        <v>301</v>
      </c>
      <c r="D31" t="s">
        <v>246</v>
      </c>
    </row>
    <row r="32" spans="1:4" x14ac:dyDescent="0.35">
      <c r="A32" t="s">
        <v>264</v>
      </c>
      <c r="B32" t="s">
        <v>18</v>
      </c>
      <c r="C32" t="s">
        <v>302</v>
      </c>
      <c r="D32" t="s">
        <v>247</v>
      </c>
    </row>
    <row r="33" spans="1:4" x14ac:dyDescent="0.35">
      <c r="A33" t="s">
        <v>264</v>
      </c>
      <c r="B33" t="s">
        <v>18</v>
      </c>
      <c r="C33" t="s">
        <v>303</v>
      </c>
      <c r="D33" t="s">
        <v>248</v>
      </c>
    </row>
    <row r="34" spans="1:4" x14ac:dyDescent="0.35">
      <c r="A34" t="s">
        <v>264</v>
      </c>
      <c r="B34" t="s">
        <v>18</v>
      </c>
      <c r="C34" t="s">
        <v>304</v>
      </c>
      <c r="D34" t="s">
        <v>249</v>
      </c>
    </row>
    <row r="35" spans="1:4" x14ac:dyDescent="0.35">
      <c r="A35" t="s">
        <v>265</v>
      </c>
      <c r="B35" t="s">
        <v>19</v>
      </c>
      <c r="C35" t="s">
        <v>305</v>
      </c>
      <c r="D35" t="s">
        <v>250</v>
      </c>
    </row>
    <row r="36" spans="1:4" x14ac:dyDescent="0.35">
      <c r="A36" t="s">
        <v>265</v>
      </c>
      <c r="B36" t="s">
        <v>19</v>
      </c>
      <c r="C36" t="s">
        <v>306</v>
      </c>
      <c r="D36" t="s">
        <v>251</v>
      </c>
    </row>
    <row r="37" spans="1:4" x14ac:dyDescent="0.35">
      <c r="A37" t="s">
        <v>264</v>
      </c>
      <c r="B37" t="s">
        <v>18</v>
      </c>
      <c r="C37" t="s">
        <v>307</v>
      </c>
      <c r="D37" t="s">
        <v>252</v>
      </c>
    </row>
    <row r="38" spans="1:4" x14ac:dyDescent="0.35">
      <c r="A38" t="s">
        <v>264</v>
      </c>
      <c r="B38" t="s">
        <v>18</v>
      </c>
      <c r="C38">
        <v>19030</v>
      </c>
      <c r="D38" t="s">
        <v>253</v>
      </c>
    </row>
    <row r="39" spans="1:4" x14ac:dyDescent="0.35">
      <c r="A39" t="s">
        <v>264</v>
      </c>
      <c r="B39" t="s">
        <v>18</v>
      </c>
      <c r="C39">
        <v>19031</v>
      </c>
      <c r="D39" t="s">
        <v>254</v>
      </c>
    </row>
    <row r="40" spans="1:4" x14ac:dyDescent="0.35">
      <c r="A40" t="s">
        <v>265</v>
      </c>
      <c r="B40" t="s">
        <v>19</v>
      </c>
      <c r="C40">
        <v>19032</v>
      </c>
      <c r="D40" t="s">
        <v>255</v>
      </c>
    </row>
    <row r="41" spans="1:4" x14ac:dyDescent="0.35">
      <c r="A41" t="s">
        <v>265</v>
      </c>
      <c r="B41" t="s">
        <v>19</v>
      </c>
      <c r="C41">
        <v>19033</v>
      </c>
      <c r="D41" t="s">
        <v>256</v>
      </c>
    </row>
    <row r="42" spans="1:4" x14ac:dyDescent="0.35">
      <c r="A42" t="s">
        <v>264</v>
      </c>
      <c r="B42" t="s">
        <v>18</v>
      </c>
      <c r="C42" t="s">
        <v>308</v>
      </c>
      <c r="D42" t="s">
        <v>257</v>
      </c>
    </row>
    <row r="43" spans="1:4" x14ac:dyDescent="0.35">
      <c r="A43" t="s">
        <v>264</v>
      </c>
      <c r="B43" t="s">
        <v>18</v>
      </c>
      <c r="C43" t="s">
        <v>309</v>
      </c>
      <c r="D43" t="s">
        <v>258</v>
      </c>
    </row>
    <row r="44" spans="1:4" x14ac:dyDescent="0.35">
      <c r="A44" t="s">
        <v>264</v>
      </c>
      <c r="B44" t="s">
        <v>18</v>
      </c>
      <c r="C44" t="s">
        <v>310</v>
      </c>
      <c r="D44" t="s">
        <v>259</v>
      </c>
    </row>
    <row r="45" spans="1:4" x14ac:dyDescent="0.35">
      <c r="A45" t="s">
        <v>265</v>
      </c>
      <c r="B45" t="s">
        <v>19</v>
      </c>
      <c r="C45" t="s">
        <v>311</v>
      </c>
      <c r="D45" t="s">
        <v>260</v>
      </c>
    </row>
    <row r="46" spans="1:4" x14ac:dyDescent="0.35">
      <c r="A46" t="s">
        <v>265</v>
      </c>
      <c r="B46" t="s">
        <v>19</v>
      </c>
      <c r="C46" t="s">
        <v>312</v>
      </c>
      <c r="D46" t="s">
        <v>261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9E7A0-2A0F-41F4-839A-A1F12B6BAA1D}">
  <dimension ref="A1:I2"/>
  <sheetViews>
    <sheetView zoomScale="90" zoomScaleNormal="90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1.7265625" bestFit="1" customWidth="1"/>
    <col min="2" max="2" width="12.26953125" bestFit="1" customWidth="1"/>
    <col min="3" max="3" width="9.453125" bestFit="1" customWidth="1"/>
    <col min="4" max="4" width="10.08984375" bestFit="1" customWidth="1"/>
    <col min="5" max="5" width="4.6328125" bestFit="1" customWidth="1"/>
    <col min="6" max="6" width="15.90625" bestFit="1" customWidth="1"/>
    <col min="7" max="7" width="13.1796875" bestFit="1" customWidth="1"/>
    <col min="8" max="8" width="14.81640625" bestFit="1" customWidth="1"/>
    <col min="9" max="9" width="15.54296875" bestFit="1" customWidth="1"/>
  </cols>
  <sheetData>
    <row r="1" spans="1:9" x14ac:dyDescent="0.35">
      <c r="A1" s="34" t="s">
        <v>262</v>
      </c>
      <c r="B1" s="34" t="s">
        <v>0</v>
      </c>
      <c r="C1" s="34" t="s">
        <v>337</v>
      </c>
      <c r="D1" s="34" t="s">
        <v>338</v>
      </c>
      <c r="E1" s="34" t="s">
        <v>144</v>
      </c>
      <c r="F1" s="34" t="s">
        <v>340</v>
      </c>
      <c r="G1" s="34" t="s">
        <v>341</v>
      </c>
      <c r="H1" s="34" t="s">
        <v>342</v>
      </c>
      <c r="I1" s="34" t="s">
        <v>339</v>
      </c>
    </row>
    <row r="2" spans="1:9" x14ac:dyDescent="0.35">
      <c r="A2" s="3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EC8D2-8510-47B7-8A85-38F0143FFB0F}">
  <dimension ref="A1:I16"/>
  <sheetViews>
    <sheetView zoomScale="90" zoomScaleNormal="90" workbookViewId="0">
      <pane ySplit="1" topLeftCell="A2" activePane="bottomLeft" state="frozen"/>
      <selection activeCell="A10" sqref="A10"/>
      <selection pane="bottomLeft" activeCell="H2" sqref="H2"/>
    </sheetView>
  </sheetViews>
  <sheetFormatPr defaultRowHeight="13" x14ac:dyDescent="0.3"/>
  <cols>
    <col min="1" max="1" width="11.26953125" style="1" bestFit="1" customWidth="1"/>
    <col min="2" max="2" width="17.54296875" style="1" bestFit="1" customWidth="1"/>
    <col min="3" max="3" width="14.54296875" style="1" bestFit="1" customWidth="1"/>
    <col min="4" max="4" width="10.08984375" style="1" bestFit="1" customWidth="1"/>
    <col min="5" max="5" width="14.08984375" style="1" bestFit="1" customWidth="1"/>
    <col min="6" max="6" width="15.81640625" style="1" hidden="1" customWidth="1"/>
    <col min="7" max="7" width="12" style="1" bestFit="1" customWidth="1"/>
    <col min="8" max="8" width="11.90625" style="1" bestFit="1" customWidth="1"/>
    <col min="9" max="9" width="10.7265625" style="1" bestFit="1" customWidth="1"/>
    <col min="10" max="16384" width="8.7265625" style="1"/>
  </cols>
  <sheetData>
    <row r="1" spans="1:9" x14ac:dyDescent="0.3">
      <c r="A1" s="3" t="s">
        <v>0</v>
      </c>
      <c r="B1" s="3" t="s">
        <v>0</v>
      </c>
      <c r="C1" s="3" t="s">
        <v>323</v>
      </c>
      <c r="D1" s="3" t="s">
        <v>7</v>
      </c>
      <c r="E1" s="3" t="s">
        <v>149</v>
      </c>
      <c r="F1" s="3" t="s">
        <v>150</v>
      </c>
      <c r="G1" s="3" t="s">
        <v>151</v>
      </c>
      <c r="H1" s="3" t="s">
        <v>131</v>
      </c>
      <c r="I1" s="3" t="s">
        <v>152</v>
      </c>
    </row>
    <row r="2" spans="1:9" x14ac:dyDescent="0.3">
      <c r="A2" s="1" t="s">
        <v>264</v>
      </c>
      <c r="B2" s="1" t="s">
        <v>18</v>
      </c>
      <c r="C2" s="27">
        <v>46048</v>
      </c>
      <c r="D2" s="28">
        <f>SUMIFS('Monthly Resource Allocation'!X:X,'Monthly Resource Allocation'!B:B,'Project Timeline Burn  (2)'!A2)</f>
        <v>459717.11845767807</v>
      </c>
      <c r="E2" s="28">
        <f>SUMIFS('Project Wise Revenue'!E:E,'Project Wise Revenue'!B:B,'Project Timeline Burn  (2)'!B2,'Project Wise Revenue'!C:C,'Project Timeline Burn  (2)'!C2)</f>
        <v>200000</v>
      </c>
      <c r="F2" s="29">
        <f>E2/SUMIFS('Project Wise Revenue'!E:E,'Project Wise Revenue'!B:B,'Project Timeline Burn  (2)'!B2,'Project Wise Revenue'!C:C,'Project Timeline Burn  (2)'!C2)</f>
        <v>1</v>
      </c>
      <c r="G2" s="8">
        <f>D2/E2</f>
        <v>2.2985855922883904</v>
      </c>
      <c r="H2" s="8">
        <f>(E2-D2)/E2</f>
        <v>-1.2985855922883904</v>
      </c>
      <c r="I2" s="1" t="str">
        <f>IF(G2&gt;0.85,"Red",IF(G2&gt;0.6,"Amber","Green"))</f>
        <v>Red</v>
      </c>
    </row>
    <row r="3" spans="1:9" x14ac:dyDescent="0.3">
      <c r="A3" s="1" t="s">
        <v>265</v>
      </c>
      <c r="B3" s="1" t="s">
        <v>19</v>
      </c>
      <c r="C3" s="27">
        <v>46079</v>
      </c>
      <c r="D3" s="28">
        <f>SUMIFS('Monthly Resource Allocation'!X:X,'Monthly Resource Allocation'!B:B,'Project Timeline Burn  (2)'!A3)</f>
        <v>378413.2851536448</v>
      </c>
      <c r="E3" s="28">
        <f>SUMIFS('Project Wise Revenue'!E:E,'Project Wise Revenue'!B:B,'Project Timeline Burn  (2)'!B3)</f>
        <v>450000</v>
      </c>
      <c r="F3" s="29">
        <f>E3/SUMIFS('Project Wise Revenue'!E:E,'Project Wise Revenue'!B:B,'Project Timeline Burn  (2)'!B3)</f>
        <v>1</v>
      </c>
      <c r="G3" s="8">
        <f t="shared" ref="G3" si="0">D3/E3</f>
        <v>0.84091841145254398</v>
      </c>
      <c r="H3" s="8">
        <f t="shared" ref="H3" si="1">(E3-D3)/E3</f>
        <v>0.15908158854745599</v>
      </c>
      <c r="I3" s="1" t="str">
        <f t="shared" ref="I3" si="2">IF(G3&gt;0.85,"Red",IF(G3&gt;0.75,"Amber","Green"))</f>
        <v>Amber</v>
      </c>
    </row>
    <row r="4" spans="1:9" x14ac:dyDescent="0.3">
      <c r="C4" s="27"/>
    </row>
    <row r="5" spans="1:9" x14ac:dyDescent="0.3">
      <c r="C5" s="27"/>
    </row>
    <row r="6" spans="1:9" x14ac:dyDescent="0.3">
      <c r="C6" s="27"/>
    </row>
    <row r="7" spans="1:9" x14ac:dyDescent="0.3">
      <c r="C7" s="27"/>
    </row>
    <row r="8" spans="1:9" x14ac:dyDescent="0.3">
      <c r="C8" s="27"/>
    </row>
    <row r="9" spans="1:9" x14ac:dyDescent="0.3">
      <c r="C9" s="27"/>
    </row>
    <row r="10" spans="1:9" x14ac:dyDescent="0.3">
      <c r="C10" s="27"/>
    </row>
    <row r="11" spans="1:9" x14ac:dyDescent="0.3">
      <c r="C11" s="27"/>
    </row>
    <row r="12" spans="1:9" x14ac:dyDescent="0.3">
      <c r="C12" s="27"/>
    </row>
    <row r="13" spans="1:9" x14ac:dyDescent="0.3">
      <c r="C13" s="27"/>
    </row>
    <row r="14" spans="1:9" x14ac:dyDescent="0.3">
      <c r="C14" s="27"/>
    </row>
    <row r="15" spans="1:9" x14ac:dyDescent="0.3">
      <c r="C15" s="27"/>
    </row>
    <row r="16" spans="1:9" x14ac:dyDescent="0.3">
      <c r="C16" s="27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1876B-B2DE-4B4D-AE6A-B7C7EF13256A}">
  <dimension ref="A1:I31"/>
  <sheetViews>
    <sheetView zoomScale="90" zoomScaleNormal="90" workbookViewId="0">
      <pane ySplit="1" topLeftCell="A2" activePane="bottomLeft" state="frozen"/>
      <selection activeCell="B2" sqref="B2:B4"/>
      <selection pane="bottomLeft" activeCell="B2" sqref="B2:B4"/>
    </sheetView>
  </sheetViews>
  <sheetFormatPr defaultRowHeight="14.5" x14ac:dyDescent="0.35"/>
  <cols>
    <col min="1" max="1" width="11.7265625" bestFit="1" customWidth="1"/>
    <col min="2" max="2" width="35.36328125" bestFit="1" customWidth="1"/>
    <col min="3" max="3" width="9.26953125" bestFit="1" customWidth="1"/>
    <col min="4" max="4" width="8.453125" bestFit="1" customWidth="1"/>
    <col min="5" max="5" width="11.1796875" bestFit="1" customWidth="1"/>
    <col min="6" max="6" width="12.81640625" bestFit="1" customWidth="1"/>
    <col min="7" max="7" width="11.90625" bestFit="1" customWidth="1"/>
    <col min="8" max="8" width="13.1796875" bestFit="1" customWidth="1"/>
    <col min="9" max="9" width="15.36328125" bestFit="1" customWidth="1"/>
  </cols>
  <sheetData>
    <row r="1" spans="1:9" x14ac:dyDescent="0.35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114</v>
      </c>
      <c r="G1" s="2" t="s">
        <v>106</v>
      </c>
      <c r="H1" s="2" t="s">
        <v>17</v>
      </c>
      <c r="I1" s="2" t="s">
        <v>16</v>
      </c>
    </row>
    <row r="2" spans="1:9" x14ac:dyDescent="0.35">
      <c r="B2" t="s">
        <v>18</v>
      </c>
      <c r="F2">
        <f>SUMIF('Project Resource Details'!B:B,'Project Wise Summary'!B2,'Project Resource Details'!BM:BM)</f>
        <v>32</v>
      </c>
      <c r="G2">
        <f>SUMIF('Project Resource Details'!B:B,'Project Wise Summary'!B2,'Project Resource Details'!BN:BN)</f>
        <v>0</v>
      </c>
      <c r="I2" t="e">
        <f>G2/H2</f>
        <v>#DIV/0!</v>
      </c>
    </row>
    <row r="3" spans="1:9" x14ac:dyDescent="0.35">
      <c r="B3" t="s">
        <v>19</v>
      </c>
    </row>
    <row r="4" spans="1:9" x14ac:dyDescent="0.35">
      <c r="B4" t="s">
        <v>20</v>
      </c>
    </row>
    <row r="5" spans="1:9" x14ac:dyDescent="0.35">
      <c r="B5" t="s">
        <v>21</v>
      </c>
    </row>
    <row r="6" spans="1:9" x14ac:dyDescent="0.35">
      <c r="B6" t="s">
        <v>22</v>
      </c>
    </row>
    <row r="7" spans="1:9" x14ac:dyDescent="0.35">
      <c r="B7" t="s">
        <v>23</v>
      </c>
    </row>
    <row r="8" spans="1:9" x14ac:dyDescent="0.35">
      <c r="B8" t="s">
        <v>24</v>
      </c>
    </row>
    <row r="9" spans="1:9" x14ac:dyDescent="0.35">
      <c r="B9" t="s">
        <v>25</v>
      </c>
    </row>
    <row r="10" spans="1:9" x14ac:dyDescent="0.35">
      <c r="B10" t="s">
        <v>26</v>
      </c>
    </row>
    <row r="11" spans="1:9" x14ac:dyDescent="0.35">
      <c r="B11" t="s">
        <v>27</v>
      </c>
    </row>
    <row r="12" spans="1:9" x14ac:dyDescent="0.35">
      <c r="B12" t="s">
        <v>28</v>
      </c>
    </row>
    <row r="13" spans="1:9" x14ac:dyDescent="0.35">
      <c r="B13" t="s">
        <v>29</v>
      </c>
    </row>
    <row r="14" spans="1:9" x14ac:dyDescent="0.35">
      <c r="B14" t="s">
        <v>30</v>
      </c>
    </row>
    <row r="15" spans="1:9" x14ac:dyDescent="0.35">
      <c r="B15" t="s">
        <v>31</v>
      </c>
    </row>
    <row r="16" spans="1:9" x14ac:dyDescent="0.35">
      <c r="B16" t="s">
        <v>32</v>
      </c>
    </row>
    <row r="17" spans="2:2" x14ac:dyDescent="0.35">
      <c r="B17" t="s">
        <v>33</v>
      </c>
    </row>
    <row r="18" spans="2:2" x14ac:dyDescent="0.35">
      <c r="B18" t="s">
        <v>34</v>
      </c>
    </row>
    <row r="19" spans="2:2" x14ac:dyDescent="0.35">
      <c r="B19" t="s">
        <v>35</v>
      </c>
    </row>
    <row r="20" spans="2:2" x14ac:dyDescent="0.35">
      <c r="B20" t="s">
        <v>36</v>
      </c>
    </row>
    <row r="21" spans="2:2" x14ac:dyDescent="0.35">
      <c r="B21" t="s">
        <v>37</v>
      </c>
    </row>
    <row r="22" spans="2:2" x14ac:dyDescent="0.35">
      <c r="B22" t="s">
        <v>38</v>
      </c>
    </row>
    <row r="23" spans="2:2" x14ac:dyDescent="0.35">
      <c r="B23" t="s">
        <v>39</v>
      </c>
    </row>
    <row r="24" spans="2:2" x14ac:dyDescent="0.35">
      <c r="B24" t="s">
        <v>40</v>
      </c>
    </row>
    <row r="25" spans="2:2" x14ac:dyDescent="0.35">
      <c r="B25" t="s">
        <v>41</v>
      </c>
    </row>
    <row r="26" spans="2:2" x14ac:dyDescent="0.35">
      <c r="B26" t="s">
        <v>42</v>
      </c>
    </row>
    <row r="27" spans="2:2" x14ac:dyDescent="0.35">
      <c r="B27" t="s">
        <v>43</v>
      </c>
    </row>
    <row r="28" spans="2:2" x14ac:dyDescent="0.35">
      <c r="B28" t="s">
        <v>44</v>
      </c>
    </row>
    <row r="29" spans="2:2" x14ac:dyDescent="0.35">
      <c r="B29" t="s">
        <v>45</v>
      </c>
    </row>
    <row r="30" spans="2:2" x14ac:dyDescent="0.35">
      <c r="B30" t="s">
        <v>46</v>
      </c>
    </row>
    <row r="31" spans="2:2" x14ac:dyDescent="0.35">
      <c r="B31" t="s">
        <v>47</v>
      </c>
    </row>
  </sheetData>
  <autoFilter ref="A1:I31" xr:uid="{7151876B-B2DE-4B4D-AE6A-B7C7EF13256A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D7BBD-61C6-458A-8A25-EE1BA0043A9B}">
  <dimension ref="A1:BP15"/>
  <sheetViews>
    <sheetView zoomScale="90" zoomScaleNormal="90" workbookViewId="0">
      <pane ySplit="2" topLeftCell="A3" activePane="bottomLeft" state="frozen"/>
      <selection activeCell="B2" sqref="B2:B4"/>
      <selection pane="bottomLeft" activeCell="B2" sqref="B2:B4"/>
    </sheetView>
  </sheetViews>
  <sheetFormatPr defaultRowHeight="13" x14ac:dyDescent="0.3"/>
  <cols>
    <col min="1" max="1" width="8.36328125" style="1" bestFit="1" customWidth="1"/>
    <col min="2" max="2" width="11.26953125" style="1" bestFit="1" customWidth="1"/>
    <col min="3" max="3" width="9.90625" style="1" bestFit="1" customWidth="1"/>
    <col min="4" max="4" width="12.81640625" style="1" bestFit="1" customWidth="1"/>
    <col min="5" max="5" width="12" style="1" bestFit="1" customWidth="1"/>
    <col min="6" max="6" width="13.08984375" style="1" bestFit="1" customWidth="1"/>
    <col min="7" max="7" width="10.36328125" style="1" bestFit="1" customWidth="1"/>
    <col min="8" max="8" width="9.36328125" style="1" bestFit="1" customWidth="1"/>
    <col min="9" max="12" width="5.26953125" style="1" bestFit="1" customWidth="1"/>
    <col min="13" max="64" width="5.26953125" style="1" hidden="1" customWidth="1"/>
    <col min="65" max="65" width="19.54296875" style="1" bestFit="1" customWidth="1"/>
    <col min="66" max="66" width="10.54296875" style="1" bestFit="1" customWidth="1"/>
    <col min="67" max="67" width="11.36328125" style="1" bestFit="1" customWidth="1"/>
    <col min="68" max="68" width="15.36328125" style="1" bestFit="1" customWidth="1"/>
    <col min="69" max="16384" width="8.7265625" style="1"/>
  </cols>
  <sheetData>
    <row r="1" spans="1:68" x14ac:dyDescent="0.3">
      <c r="I1" s="45" t="s">
        <v>105</v>
      </c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</row>
    <row r="2" spans="1:68" x14ac:dyDescent="0.3">
      <c r="A2" s="2" t="s">
        <v>4</v>
      </c>
      <c r="B2" s="2" t="s">
        <v>0</v>
      </c>
      <c r="C2" s="2" t="s">
        <v>10</v>
      </c>
      <c r="D2" s="2" t="s">
        <v>5</v>
      </c>
      <c r="E2" s="2" t="s">
        <v>6</v>
      </c>
      <c r="F2" s="2" t="s">
        <v>48</v>
      </c>
      <c r="G2" s="2" t="s">
        <v>50</v>
      </c>
      <c r="H2" s="2" t="s">
        <v>109</v>
      </c>
      <c r="I2" s="4" t="s">
        <v>12</v>
      </c>
      <c r="J2" s="4" t="s">
        <v>13</v>
      </c>
      <c r="K2" s="4" t="s">
        <v>51</v>
      </c>
      <c r="L2" s="4" t="s">
        <v>52</v>
      </c>
      <c r="M2" s="3" t="s">
        <v>53</v>
      </c>
      <c r="N2" s="3" t="s">
        <v>54</v>
      </c>
      <c r="O2" s="3" t="s">
        <v>55</v>
      </c>
      <c r="P2" s="3" t="s">
        <v>56</v>
      </c>
      <c r="Q2" s="3" t="s">
        <v>57</v>
      </c>
      <c r="R2" s="3" t="s">
        <v>58</v>
      </c>
      <c r="S2" s="3" t="s">
        <v>59</v>
      </c>
      <c r="T2" s="3" t="s">
        <v>60</v>
      </c>
      <c r="U2" s="3" t="s">
        <v>61</v>
      </c>
      <c r="V2" s="3" t="s">
        <v>62</v>
      </c>
      <c r="W2" s="3" t="s">
        <v>63</v>
      </c>
      <c r="X2" s="3" t="s">
        <v>64</v>
      </c>
      <c r="Y2" s="3" t="s">
        <v>65</v>
      </c>
      <c r="Z2" s="3" t="s">
        <v>66</v>
      </c>
      <c r="AA2" s="3" t="s">
        <v>67</v>
      </c>
      <c r="AB2" s="3" t="s">
        <v>68</v>
      </c>
      <c r="AC2" s="3" t="s">
        <v>69</v>
      </c>
      <c r="AD2" s="3" t="s">
        <v>70</v>
      </c>
      <c r="AE2" s="3" t="s">
        <v>71</v>
      </c>
      <c r="AF2" s="3" t="s">
        <v>72</v>
      </c>
      <c r="AG2" s="3" t="s">
        <v>73</v>
      </c>
      <c r="AH2" s="3" t="s">
        <v>74</v>
      </c>
      <c r="AI2" s="3" t="s">
        <v>75</v>
      </c>
      <c r="AJ2" s="3" t="s">
        <v>76</v>
      </c>
      <c r="AK2" s="3" t="s">
        <v>77</v>
      </c>
      <c r="AL2" s="3" t="s">
        <v>78</v>
      </c>
      <c r="AM2" s="3" t="s">
        <v>79</v>
      </c>
      <c r="AN2" s="3" t="s">
        <v>80</v>
      </c>
      <c r="AO2" s="3" t="s">
        <v>81</v>
      </c>
      <c r="AP2" s="3" t="s">
        <v>82</v>
      </c>
      <c r="AQ2" s="3" t="s">
        <v>83</v>
      </c>
      <c r="AR2" s="3" t="s">
        <v>84</v>
      </c>
      <c r="AS2" s="3" t="s">
        <v>85</v>
      </c>
      <c r="AT2" s="3" t="s">
        <v>86</v>
      </c>
      <c r="AU2" s="3" t="s">
        <v>87</v>
      </c>
      <c r="AV2" s="3" t="s">
        <v>88</v>
      </c>
      <c r="AW2" s="3" t="s">
        <v>89</v>
      </c>
      <c r="AX2" s="3" t="s">
        <v>90</v>
      </c>
      <c r="AY2" s="3" t="s">
        <v>91</v>
      </c>
      <c r="AZ2" s="3" t="s">
        <v>92</v>
      </c>
      <c r="BA2" s="3" t="s">
        <v>93</v>
      </c>
      <c r="BB2" s="3" t="s">
        <v>94</v>
      </c>
      <c r="BC2" s="3" t="s">
        <v>95</v>
      </c>
      <c r="BD2" s="3" t="s">
        <v>96</v>
      </c>
      <c r="BE2" s="3" t="s">
        <v>97</v>
      </c>
      <c r="BF2" s="3" t="s">
        <v>98</v>
      </c>
      <c r="BG2" s="3" t="s">
        <v>99</v>
      </c>
      <c r="BH2" s="3" t="s">
        <v>100</v>
      </c>
      <c r="BI2" s="3" t="s">
        <v>101</v>
      </c>
      <c r="BJ2" s="3" t="s">
        <v>102</v>
      </c>
      <c r="BK2" s="3" t="s">
        <v>103</v>
      </c>
      <c r="BL2" s="3" t="s">
        <v>104</v>
      </c>
      <c r="BM2" s="2" t="s">
        <v>107</v>
      </c>
      <c r="BN2" s="2" t="s">
        <v>108</v>
      </c>
      <c r="BO2" s="2" t="s">
        <v>15</v>
      </c>
      <c r="BP2" s="2" t="s">
        <v>16</v>
      </c>
    </row>
    <row r="3" spans="1:68" ht="14.5" x14ac:dyDescent="0.35">
      <c r="B3" t="s">
        <v>18</v>
      </c>
      <c r="F3" s="1" t="s">
        <v>8</v>
      </c>
      <c r="H3" s="1">
        <v>0</v>
      </c>
      <c r="I3" s="1">
        <v>8</v>
      </c>
      <c r="J3" s="1">
        <v>8</v>
      </c>
      <c r="K3" s="1">
        <v>8</v>
      </c>
      <c r="L3" s="1">
        <v>8</v>
      </c>
      <c r="BM3" s="1">
        <f>SUM(I3:BL3)</f>
        <v>32</v>
      </c>
      <c r="BN3" s="1">
        <f>H3*BM3</f>
        <v>0</v>
      </c>
      <c r="BP3" s="1" t="e">
        <f>BN3/BO3</f>
        <v>#DIV/0!</v>
      </c>
    </row>
    <row r="6" spans="1:68" x14ac:dyDescent="0.3">
      <c r="A6" s="5" t="s">
        <v>110</v>
      </c>
    </row>
    <row r="7" spans="1:68" x14ac:dyDescent="0.3">
      <c r="A7" s="5" t="s">
        <v>112</v>
      </c>
    </row>
    <row r="9" spans="1:68" x14ac:dyDescent="0.3">
      <c r="A9" s="1" t="s">
        <v>119</v>
      </c>
    </row>
    <row r="10" spans="1:68" x14ac:dyDescent="0.3">
      <c r="A10" s="1" t="s">
        <v>111</v>
      </c>
    </row>
    <row r="11" spans="1:68" x14ac:dyDescent="0.3">
      <c r="A11" s="1" t="s">
        <v>113</v>
      </c>
    </row>
    <row r="12" spans="1:68" x14ac:dyDescent="0.3">
      <c r="A12" s="1" t="s">
        <v>115</v>
      </c>
    </row>
    <row r="13" spans="1:68" x14ac:dyDescent="0.3">
      <c r="A13" s="1" t="s">
        <v>116</v>
      </c>
    </row>
    <row r="14" spans="1:68" x14ac:dyDescent="0.3">
      <c r="A14" s="1" t="s">
        <v>117</v>
      </c>
    </row>
    <row r="15" spans="1:68" x14ac:dyDescent="0.3">
      <c r="A15" s="1" t="s">
        <v>118</v>
      </c>
    </row>
  </sheetData>
  <autoFilter ref="A2:BP2" xr:uid="{596D7BBD-61C6-458A-8A25-EE1BA0043A9B}"/>
  <mergeCells count="1">
    <mergeCell ref="I1:BL1"/>
  </mergeCells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3294F-A5C3-4B0D-86CE-DDBA0698B32D}">
  <dimension ref="A1:K3"/>
  <sheetViews>
    <sheetView zoomScale="90" zoomScaleNormal="90" workbookViewId="0">
      <selection activeCell="K3" sqref="K3"/>
    </sheetView>
  </sheetViews>
  <sheetFormatPr defaultRowHeight="13" x14ac:dyDescent="0.3"/>
  <cols>
    <col min="1" max="1" width="8.36328125" style="1" bestFit="1" customWidth="1"/>
    <col min="2" max="2" width="11.26953125" style="1" bestFit="1" customWidth="1"/>
    <col min="3" max="3" width="9.90625" style="1" bestFit="1" customWidth="1"/>
    <col min="4" max="4" width="12.81640625" style="1" bestFit="1" customWidth="1"/>
    <col min="5" max="5" width="12" style="1" bestFit="1" customWidth="1"/>
    <col min="6" max="6" width="13.08984375" style="1" bestFit="1" customWidth="1"/>
    <col min="7" max="7" width="9.90625" style="1" bestFit="1" customWidth="1"/>
    <col min="8" max="8" width="13.6328125" style="1" bestFit="1" customWidth="1"/>
    <col min="9" max="9" width="8.54296875" style="1" bestFit="1" customWidth="1"/>
    <col min="10" max="10" width="6.36328125" style="1" bestFit="1" customWidth="1"/>
    <col min="11" max="11" width="15.36328125" style="1" bestFit="1" customWidth="1"/>
    <col min="12" max="16384" width="8.7265625" style="1"/>
  </cols>
  <sheetData>
    <row r="1" spans="1:11" x14ac:dyDescent="0.3">
      <c r="H1" s="1" t="s">
        <v>12</v>
      </c>
    </row>
    <row r="2" spans="1:11" x14ac:dyDescent="0.3">
      <c r="A2" s="2" t="s">
        <v>4</v>
      </c>
      <c r="B2" s="2" t="s">
        <v>0</v>
      </c>
      <c r="C2" s="2" t="s">
        <v>10</v>
      </c>
      <c r="D2" s="2" t="s">
        <v>5</v>
      </c>
      <c r="E2" s="2" t="s">
        <v>6</v>
      </c>
      <c r="F2" s="2" t="s">
        <v>48</v>
      </c>
      <c r="G2" s="2" t="s">
        <v>50</v>
      </c>
      <c r="H2" s="2" t="s">
        <v>49</v>
      </c>
      <c r="I2" s="2" t="s">
        <v>7</v>
      </c>
      <c r="J2" s="2" t="s">
        <v>15</v>
      </c>
      <c r="K2" s="2" t="s">
        <v>16</v>
      </c>
    </row>
    <row r="3" spans="1:11" x14ac:dyDescent="0.3">
      <c r="F3" s="1" t="s">
        <v>8</v>
      </c>
      <c r="I3" s="1">
        <f>G3*H3</f>
        <v>0</v>
      </c>
      <c r="J3" s="1">
        <v>1</v>
      </c>
      <c r="K3" s="1">
        <f>I3/J3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C475B-8230-4CF7-8E5C-25AE5F0B1451}">
  <dimension ref="A2:K4"/>
  <sheetViews>
    <sheetView zoomScale="90" zoomScaleNormal="90" workbookViewId="0">
      <pane ySplit="2" topLeftCell="A3" activePane="bottomLeft" state="frozen"/>
      <selection activeCell="B2" sqref="B2:B4"/>
      <selection pane="bottomLeft" activeCell="B2" sqref="B2:B4"/>
    </sheetView>
  </sheetViews>
  <sheetFormatPr defaultRowHeight="13" x14ac:dyDescent="0.3"/>
  <cols>
    <col min="1" max="1" width="8.36328125" style="1" bestFit="1" customWidth="1"/>
    <col min="2" max="2" width="11.26953125" style="1" bestFit="1" customWidth="1"/>
    <col min="3" max="3" width="9.90625" style="1" bestFit="1" customWidth="1"/>
    <col min="4" max="4" width="12.81640625" style="1" bestFit="1" customWidth="1"/>
    <col min="5" max="5" width="12" style="1" bestFit="1" customWidth="1"/>
    <col min="6" max="6" width="9.90625" style="1" bestFit="1" customWidth="1"/>
    <col min="7" max="7" width="7.7265625" style="1" bestFit="1" customWidth="1"/>
    <col min="8" max="8" width="8.54296875" style="1" bestFit="1" customWidth="1"/>
    <col min="9" max="9" width="6.36328125" style="1" bestFit="1" customWidth="1"/>
    <col min="10" max="10" width="15.36328125" style="1" bestFit="1" customWidth="1"/>
    <col min="11" max="11" width="5.26953125" style="1" bestFit="1" customWidth="1"/>
    <col min="12" max="16384" width="8.7265625" style="1"/>
  </cols>
  <sheetData>
    <row r="2" spans="1:11" x14ac:dyDescent="0.3">
      <c r="A2" s="2" t="s">
        <v>4</v>
      </c>
      <c r="B2" s="2" t="s">
        <v>0</v>
      </c>
      <c r="C2" s="2" t="s">
        <v>10</v>
      </c>
      <c r="D2" s="2" t="s">
        <v>5</v>
      </c>
      <c r="E2" s="2" t="s">
        <v>6</v>
      </c>
      <c r="F2" s="2" t="s">
        <v>9</v>
      </c>
      <c r="G2" s="2" t="s">
        <v>14</v>
      </c>
      <c r="H2" s="2" t="s">
        <v>7</v>
      </c>
      <c r="I2" s="2" t="s">
        <v>15</v>
      </c>
      <c r="J2" s="2" t="s">
        <v>16</v>
      </c>
      <c r="K2" s="2" t="s">
        <v>11</v>
      </c>
    </row>
    <row r="3" spans="1:11" x14ac:dyDescent="0.3">
      <c r="H3" s="1">
        <f>F3*G3</f>
        <v>0</v>
      </c>
      <c r="I3" s="1">
        <v>1</v>
      </c>
      <c r="J3" s="1">
        <f>H3/I3</f>
        <v>0</v>
      </c>
      <c r="K3" s="1" t="s">
        <v>12</v>
      </c>
    </row>
    <row r="4" spans="1:11" x14ac:dyDescent="0.3">
      <c r="K4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Pointers</vt:lpstr>
      <vt:lpstr>Data Sheet</vt:lpstr>
      <vt:lpstr>Resource Allocation</vt:lpstr>
      <vt:lpstr>Project Summary</vt:lpstr>
      <vt:lpstr>Project Wise Revenue</vt:lpstr>
      <vt:lpstr>Project Timeline Burn </vt:lpstr>
      <vt:lpstr>Data Fields</vt:lpstr>
      <vt:lpstr>Sheet7</vt:lpstr>
      <vt:lpstr>Project Master</vt:lpstr>
      <vt:lpstr>Resource Rate Card</vt:lpstr>
      <vt:lpstr>Monthly Resource</vt:lpstr>
      <vt:lpstr>Monthly Resource Allocation</vt:lpstr>
      <vt:lpstr>Project Burn Summary</vt:lpstr>
      <vt:lpstr>MoM Resource Utilisation</vt:lpstr>
      <vt:lpstr>Resource Allocation Till Date</vt:lpstr>
      <vt:lpstr>Project Timeline Burn  (2)</vt:lpstr>
      <vt:lpstr>Project Wise Summary</vt:lpstr>
      <vt:lpstr>Project Resource Details</vt:lpstr>
      <vt:lpstr>Project Resource Details (2)</vt:lpstr>
      <vt:lpstr>Resource Wise Summary</vt:lpstr>
    </vt:vector>
  </TitlesOfParts>
  <Company>EXL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Vaishali Anand</dc:creator>
  <cp:lastModifiedBy>Vaishali Anand</cp:lastModifiedBy>
  <dcterms:created xsi:type="dcterms:W3CDTF">2025-12-18T10:04:44Z</dcterms:created>
  <dcterms:modified xsi:type="dcterms:W3CDTF">2026-01-22T13:31:07Z</dcterms:modified>
</cp:coreProperties>
</file>